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ılavuz" sheetId="1" state="visible" r:id="rId1"/>
    <sheet name="1·Proje Girişi" sheetId="2" state="visible" r:id="rId2"/>
    <sheet name="2·Mühendislik" sheetId="3" state="visible" r:id="rId3"/>
    <sheet name="3·Ekipman Listesi" sheetId="4" state="visible" r:id="rId4"/>
    <sheet name="4·Satın Alma" sheetId="5" state="visible" r:id="rId5"/>
    <sheet name="5·Zaman Çizelgesi" sheetId="6" state="visible" r:id="rId6"/>
    <sheet name="Özet" sheetId="7" state="visible" r:id="rId7"/>
    <sheet name="Listeler" sheetId="8" state="visible" r:id="rId8"/>
  </sheets>
  <definedNames>
    <definedName name="_xlnm._FilterDatabase" localSheetId="1" hidden="1">'1·Proje Girişi'!$A$1:$O$1</definedName>
    <definedName name="_xlnm._FilterDatabase" localSheetId="2" hidden="1">'2·Mühendislik'!$A$1:$K$1</definedName>
    <definedName name="_xlnm._FilterDatabase" localSheetId="3" hidden="1">'3·Ekipman Listesi'!$A$1:$M$1</definedName>
    <definedName name="_xlnm._FilterDatabase" localSheetId="4" hidden="1">'4·Satın Alma'!$A$1:$P$1</definedName>
    <definedName name="_xlnm._FilterDatabase" localSheetId="5" hidden="1">'5·Zaman Çizelgesi'!$A$1:$I$1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3">
    <font>
      <name val="Calibri"/>
      <family val="2"/>
      <color theme="1"/>
      <sz val="11"/>
      <scheme val="minor"/>
    </font>
    <font>
      <name val="Calibri"/>
      <b val="1"/>
      <color rgb="00F5A623"/>
      <sz val="22"/>
    </font>
    <font>
      <name val="Calibri"/>
      <color rgb="0044607A"/>
      <sz val="12"/>
    </font>
    <font>
      <b val="1"/>
      <color rgb="00F5A623"/>
      <sz val="13"/>
    </font>
    <font>
      <name val="Calibri"/>
      <color rgb="001A2330"/>
      <sz val="11"/>
    </font>
    <font>
      <b val="1"/>
      <color rgb="0013304A"/>
    </font>
    <font>
      <name val="Calibri"/>
      <b val="1"/>
      <color rgb="00FFFFFF"/>
      <sz val="11"/>
    </font>
    <font>
      <i val="1"/>
      <color rgb="0044607A"/>
    </font>
    <font>
      <b val="1"/>
      <color rgb="00F5A623"/>
      <sz val="20"/>
    </font>
    <font>
      <color rgb="0044607A"/>
    </font>
    <font>
      <name val="Calibri"/>
      <b val="1"/>
      <color rgb="00FFFFFF"/>
      <sz val="12"/>
    </font>
    <font>
      <b val="1"/>
    </font>
    <font>
      <b val="1"/>
      <color rgb="00F5A623"/>
    </font>
  </fonts>
  <fills count="3">
    <fill>
      <patternFill/>
    </fill>
    <fill>
      <patternFill patternType="gray125"/>
    </fill>
    <fill>
      <patternFill patternType="solid">
        <fgColor rgb="0013304A"/>
      </patternFill>
    </fill>
  </fills>
  <borders count="2">
    <border>
      <left/>
      <right/>
      <top/>
      <bottom/>
      <diagonal/>
    </border>
    <border>
      <left style="thin">
        <color rgb="00C9D6E2"/>
      </left>
      <right style="thin">
        <color rgb="00C9D6E2"/>
      </right>
      <top style="thin">
        <color rgb="00C9D6E2"/>
      </top>
      <bottom style="thin">
        <color rgb="00C9D6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pivotButton="0" quotePrefix="0" xfId="0"/>
    <xf numFmtId="3" fontId="11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0" borderId="1" pivotButton="0" quotePrefix="0" xfId="0"/>
    <xf numFmtId="9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9">
    <dxf>
      <fill>
        <patternFill patternType="solid">
          <fgColor rgb="00F4F8FC"/>
        </patternFill>
      </fill>
    </dxf>
    <dxf>
      <font>
        <b val="1"/>
        <color rgb="000A0D12"/>
      </font>
      <fill>
        <patternFill patternType="solid">
          <fgColor rgb="00E2E8F0"/>
        </patternFill>
      </fill>
    </dxf>
    <dxf>
      <font>
        <b val="1"/>
        <color rgb="000A0D12"/>
      </font>
      <fill>
        <patternFill patternType="solid">
          <fgColor rgb="00FCE8B2"/>
        </patternFill>
      </fill>
    </dxf>
    <dxf>
      <font>
        <b val="1"/>
        <color rgb="000A0D12"/>
      </font>
      <fill>
        <patternFill patternType="solid">
          <fgColor rgb="00BBDBFF"/>
        </patternFill>
      </fill>
    </dxf>
    <dxf>
      <font>
        <b val="1"/>
        <color rgb="000A0D12"/>
      </font>
      <fill>
        <patternFill patternType="solid">
          <fgColor rgb="00BFE9DD"/>
        </patternFill>
      </fill>
    </dxf>
    <dxf>
      <font>
        <b val="1"/>
        <color rgb="000A0D12"/>
      </font>
      <fill>
        <patternFill patternType="solid">
          <fgColor rgb="00E2CFF5"/>
        </patternFill>
      </fill>
    </dxf>
    <dxf>
      <font>
        <b val="1"/>
        <color rgb="000A0D12"/>
      </font>
      <fill>
        <patternFill patternType="solid">
          <fgColor rgb="00BFE6C3"/>
        </patternFill>
      </fill>
    </dxf>
    <dxf>
      <font>
        <b val="1"/>
        <color rgb="000A0D12"/>
      </font>
      <fill>
        <patternFill patternType="solid">
          <fgColor rgb="00F5C6C6"/>
        </patternFill>
      </fill>
    </dxf>
    <dxf>
      <font>
        <b val="1"/>
        <color rgb="00FFFFFF"/>
      </font>
      <fill>
        <patternFill patternType="solid">
          <f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SYNTEGRA · PROJE TAKİP</t>
        </is>
      </c>
    </row>
    <row r="3">
      <c r="B3" s="2" t="inlineStr">
        <is>
          <t>Proje Girişinden Çıktıya (Teslimat) Akıllı Takip Çalışma Kitabı</t>
        </is>
      </c>
    </row>
    <row r="5">
      <c r="B5" s="3" t="inlineStr">
        <is>
          <t>İŞ AKIŞI (soldan sağa)</t>
        </is>
      </c>
    </row>
    <row r="6" ht="50" customHeight="1">
      <c r="B6" s="4" t="inlineStr">
        <is>
          <t>①  Proje Girişi  →  ②  Mühendislik (P&amp;ID/Çizim + Revizyon Onayı)  →  ③  Ekipman Listesi  →  ④  Satın Alma / Teklif (Arşen onayı)  →  ⑤  Zaman Çizelgesi (Üretim · Test · Montaj · Sevkiyat)  →  ✓ Çıktı / Teslim</t>
        </is>
      </c>
    </row>
    <row r="8">
      <c r="B8" s="3" t="inlineStr">
        <is>
          <t>SAYFALAR</t>
        </is>
      </c>
    </row>
    <row r="9">
      <c r="B9" s="5" t="inlineStr">
        <is>
          <t>1·Proje Girişi</t>
        </is>
      </c>
      <c r="C9" s="4" t="inlineStr">
        <is>
          <t>Yeni proje kaydı: kod, müşteri, sorumlu, başlangıç/termin, durum. İlerleme % ve kalan gün otomatik hesaplanır.</t>
        </is>
      </c>
    </row>
    <row r="10">
      <c r="B10" s="5" t="inlineStr">
        <is>
          <t>2·Mühendislik</t>
        </is>
      </c>
      <c r="C10" s="4" t="inlineStr">
        <is>
          <t>Her projenin P&amp;ID/çizim aşaması ve revizyon onay döngüsü. Proje adı koddan otomatik gelir.</t>
        </is>
      </c>
    </row>
    <row r="11">
      <c r="B11" s="5" t="inlineStr">
        <is>
          <t>3·Ekipman Listesi</t>
        </is>
      </c>
      <c r="C11" s="4" t="inlineStr">
        <is>
          <t>Onaylı çizimden çıkan ekipman/alt parça listesi (BOM): body, adet, ölçü, malzeme, amaç, termin.</t>
        </is>
      </c>
    </row>
    <row r="12">
      <c r="B12" s="5" t="inlineStr">
        <is>
          <t>4·Satın Alma</t>
        </is>
      </c>
      <c r="C12" s="4" t="inlineStr">
        <is>
          <t>Tedarikçi teklifleri. Fiyat eşiği AŞILIRSA 'Arşen Onayı Gerekli' otomatik işaretlenir.</t>
        </is>
      </c>
    </row>
    <row r="13">
      <c r="B13" s="5" t="inlineStr">
        <is>
          <t>5·Zaman Çizelgesi</t>
        </is>
      </c>
      <c r="C13" s="4" t="inlineStr">
        <is>
          <t>Aşama bazlı Gantt verisi: başlangıç/bitiş, süre (gün) otomatik. Üretim→Test→Sevkiyat=çıktı.</t>
        </is>
      </c>
    </row>
    <row r="14">
      <c r="B14" s="5" t="inlineStr">
        <is>
          <t>Özet (Dashboard)</t>
        </is>
      </c>
      <c r="C14" s="4" t="inlineStr">
        <is>
          <t>Tüm sayfaları formüllerle toplar: durum dağılımı, gecikenler, onay bekleyen teklif, para birimi bazlı tutar.</t>
        </is>
      </c>
    </row>
    <row r="15">
      <c r="B15" s="5" t="inlineStr">
        <is>
          <t>Listeler</t>
        </is>
      </c>
      <c r="C15" s="4" t="inlineStr">
        <is>
          <t>Açılır liste kaynakları ve onay eşik tablosu. Elle düzenleme gerekmez.</t>
        </is>
      </c>
    </row>
    <row r="17">
      <c r="B17" s="3" t="inlineStr">
        <is>
          <t>AKILLI ÖZELLİKLER</t>
        </is>
      </c>
    </row>
    <row r="18">
      <c r="B18" s="5" t="inlineStr">
        <is>
          <t>Açılır listeler</t>
        </is>
      </c>
      <c r="C18" s="4" t="inlineStr">
        <is>
          <t>Durum, para birimi, onay durumu vb. hücreler listeden seçilir (yanlış giriş engellenir).</t>
        </is>
      </c>
    </row>
    <row r="19">
      <c r="B19" s="5" t="inlineStr">
        <is>
          <t>Otomatik ilerleme %</t>
        </is>
      </c>
      <c r="C19" s="4" t="inlineStr">
        <is>
          <t>Proje durumu seçilince ilerleme yüzdesi otomatik dolar.</t>
        </is>
      </c>
    </row>
    <row r="20">
      <c r="B20" s="5" t="inlineStr">
        <is>
          <t>Kalan gün / gecikme</t>
        </is>
      </c>
      <c r="C20" s="4" t="inlineStr">
        <is>
          <t>Termin geçmişse hücre KIRMIZI olur, kalan gün otomatik sayılır.</t>
        </is>
      </c>
    </row>
    <row r="21">
      <c r="B21" s="5" t="inlineStr">
        <is>
          <t>Onay eşiği</t>
        </is>
      </c>
      <c r="C21" s="4" t="inlineStr">
        <is>
          <t>Satın almada fiyat eşiği (EUR/USD 3.000, TRY 150.000) aşılırsa Arşen onayı uyarısı çıkar.</t>
        </is>
      </c>
    </row>
    <row r="22">
      <c r="B22" s="5" t="inlineStr">
        <is>
          <t>Sayfalar arası bağlantı</t>
        </is>
      </c>
      <c r="C22" s="4" t="inlineStr">
        <is>
          <t>Proje kodu seçilince proje adı diğer sayfalara otomatik gelir (VLOOKUP).</t>
        </is>
      </c>
    </row>
    <row r="23">
      <c r="B23" s="5" t="inlineStr">
        <is>
          <t>Renkli durumlar</t>
        </is>
      </c>
      <c r="C23" s="4" t="inlineStr">
        <is>
          <t>Her durum kendi rengiyle gösterilir; özet pano canlı sayımlar tutar.</t>
        </is>
      </c>
    </row>
    <row r="25">
      <c r="B25" s="3" t="inlineStr">
        <is>
          <t>ONAY EŞİKLERİ</t>
        </is>
      </c>
    </row>
    <row r="26">
      <c r="B26" s="5" t="inlineStr">
        <is>
          <t>EUR</t>
        </is>
      </c>
      <c r="C26" s="4" t="inlineStr">
        <is>
          <t>3.000 € üstü → Arşen onayı</t>
        </is>
      </c>
    </row>
    <row r="27">
      <c r="B27" s="5" t="inlineStr">
        <is>
          <t>USD</t>
        </is>
      </c>
      <c r="C27" s="4" t="inlineStr">
        <is>
          <t>3.000 $ üstü → Arşen onayı</t>
        </is>
      </c>
    </row>
    <row r="28">
      <c r="B28" s="5" t="inlineStr">
        <is>
          <t>TRY</t>
        </is>
      </c>
      <c r="C28" s="4" t="inlineStr">
        <is>
          <t>150.000 ₺ üstü → Arşen onayı</t>
        </is>
      </c>
    </row>
  </sheetData>
  <mergeCells count="1"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10" customWidth="1" min="4" max="4"/>
    <col width="18" customWidth="1" min="5" max="5"/>
    <col width="18" customWidth="1" min="6" max="6"/>
    <col width="13" customWidth="1" min="7" max="7"/>
    <col width="13" customWidth="1" min="8" max="8"/>
    <col width="22" customWidth="1" min="9" max="9"/>
    <col width="11" customWidth="1" min="10" max="10"/>
    <col width="11" customWidth="1" min="11" max="11"/>
    <col width="16" customWidth="1" min="12" max="12"/>
    <col width="22" customWidth="1" min="13" max="13"/>
    <col width="22" customWidth="1" min="14" max="14"/>
    <col width="30" customWidth="1" min="15" max="15"/>
  </cols>
  <sheetData>
    <row r="1" ht="30" customHeight="1">
      <c r="A1" s="6" t="inlineStr">
        <is>
          <t>Proje Kodu</t>
        </is>
      </c>
      <c r="B1" s="6" t="inlineStr">
        <is>
          <t>Proje Adı</t>
        </is>
      </c>
      <c r="C1" s="6" t="inlineStr">
        <is>
          <t>Müşteri</t>
        </is>
      </c>
      <c r="D1" s="6" t="inlineStr">
        <is>
          <t>Kısaltma</t>
        </is>
      </c>
      <c r="E1" s="6" t="inlineStr">
        <is>
          <t>Arşen Sorumlu</t>
        </is>
      </c>
      <c r="F1" s="6" t="inlineStr">
        <is>
          <t>Syntegra Sorumlu</t>
        </is>
      </c>
      <c r="G1" s="6" t="inlineStr">
        <is>
          <t>Başlangıç</t>
        </is>
      </c>
      <c r="H1" s="6" t="inlineStr">
        <is>
          <t>Termin</t>
        </is>
      </c>
      <c r="I1" s="6" t="inlineStr">
        <is>
          <t>Durum</t>
        </is>
      </c>
      <c r="J1" s="6" t="inlineStr">
        <is>
          <t>İlerleme %</t>
        </is>
      </c>
      <c r="K1" s="6" t="inlineStr">
        <is>
          <t>Kalan Gün</t>
        </is>
      </c>
      <c r="L1" s="6" t="inlineStr">
        <is>
          <t>Süre Durumu</t>
        </is>
      </c>
      <c r="M1" s="6" t="inlineStr">
        <is>
          <t>Şartname Dosyaları</t>
        </is>
      </c>
      <c r="N1" s="6" t="inlineStr">
        <is>
          <t>Tasarım Dosyaları</t>
        </is>
      </c>
      <c r="O1" s="6" t="inlineStr">
        <is>
          <t>Açıklama</t>
        </is>
      </c>
    </row>
    <row r="2" ht="22" customHeight="1">
      <c r="A2" s="7" t="inlineStr">
        <is>
          <t>SYN-2026-001</t>
        </is>
      </c>
      <c r="B2" s="7" t="inlineStr">
        <is>
          <t>Süperkritik CO₂ Ekstraksiyon Hattı</t>
        </is>
      </c>
      <c r="C2" s="7" t="inlineStr">
        <is>
          <t>ACME Kimya A.Ş.</t>
        </is>
      </c>
      <c r="D2" s="7" t="inlineStr">
        <is>
          <t>ACME</t>
        </is>
      </c>
      <c r="E2" s="7" t="inlineStr">
        <is>
          <t>M. Sancak</t>
        </is>
      </c>
      <c r="F2" s="7" t="inlineStr">
        <is>
          <t>E. Yılmaz</t>
        </is>
      </c>
      <c r="G2" s="8" t="n">
        <v>46174</v>
      </c>
      <c r="H2" s="8" t="n">
        <v>46371</v>
      </c>
      <c r="I2" s="7" t="inlineStr">
        <is>
          <t>Mühendislik Sürecinde</t>
        </is>
      </c>
      <c r="J2" s="9">
        <f>IFERROR(VLOOKUP(I2,Listeler!$B$3:$C$9,2,FALSE),"")</f>
        <v/>
      </c>
      <c r="K2" s="10">
        <f>IF(H2="","",IF(I2="Tamamlandı","✓",H2-TODAY()))</f>
        <v/>
      </c>
      <c r="L2" s="10">
        <f>IF(H2="","",IF(I2="Tamamlandı","Tamamlandı",IF(H2&lt;TODAY(),"GECİKTİ",IF(H2=TODAY(),"Bugün",H2-TODAY()&amp;" gün kaldı"))))</f>
        <v/>
      </c>
      <c r="M2" s="7" t="n"/>
      <c r="N2" s="7" t="n"/>
      <c r="O2" s="7" t="inlineStr">
        <is>
          <t>Pilot ölçek SFE ünitesi, 50 L reaktör.</t>
        </is>
      </c>
    </row>
    <row r="3" ht="22" customHeight="1">
      <c r="A3" s="7" t="n"/>
      <c r="B3" s="7" t="n"/>
      <c r="C3" s="7" t="n"/>
      <c r="D3" s="7" t="n"/>
      <c r="E3" s="7" t="n"/>
      <c r="F3" s="7" t="n"/>
      <c r="G3" s="8" t="n"/>
      <c r="H3" s="8" t="n"/>
      <c r="I3" s="7" t="n"/>
      <c r="J3" s="9">
        <f>IFERROR(VLOOKUP(I3,Listeler!$B$3:$C$9,2,FALSE),"")</f>
        <v/>
      </c>
      <c r="K3" s="10">
        <f>IF(H3="","",IF(I3="Tamamlandı","✓",H3-TODAY()))</f>
        <v/>
      </c>
      <c r="L3" s="10">
        <f>IF(H3="","",IF(I3="Tamamlandı","Tamamlandı",IF(H3&lt;TODAY(),"GECİKTİ",IF(H3=TODAY(),"Bugün",H3-TODAY()&amp;" gün kaldı"))))</f>
        <v/>
      </c>
      <c r="M3" s="7" t="n"/>
      <c r="N3" s="7" t="n"/>
      <c r="O3" s="7" t="n"/>
    </row>
    <row r="4" ht="22" customHeight="1">
      <c r="A4" s="7" t="n"/>
      <c r="B4" s="7" t="n"/>
      <c r="C4" s="7" t="n"/>
      <c r="D4" s="7" t="n"/>
      <c r="E4" s="7" t="n"/>
      <c r="F4" s="7" t="n"/>
      <c r="G4" s="8" t="n"/>
      <c r="H4" s="8" t="n"/>
      <c r="I4" s="7" t="n"/>
      <c r="J4" s="9">
        <f>IFERROR(VLOOKUP(I4,Listeler!$B$3:$C$9,2,FALSE),"")</f>
        <v/>
      </c>
      <c r="K4" s="10">
        <f>IF(H4="","",IF(I4="Tamamlandı","✓",H4-TODAY()))</f>
        <v/>
      </c>
      <c r="L4" s="10">
        <f>IF(H4="","",IF(I4="Tamamlandı","Tamamlandı",IF(H4&lt;TODAY(),"GECİKTİ",IF(H4=TODAY(),"Bugün",H4-TODAY()&amp;" gün kaldı"))))</f>
        <v/>
      </c>
      <c r="M4" s="7" t="n"/>
      <c r="N4" s="7" t="n"/>
      <c r="O4" s="7" t="n"/>
    </row>
    <row r="5" ht="22" customHeight="1">
      <c r="A5" s="7" t="n"/>
      <c r="B5" s="7" t="n"/>
      <c r="C5" s="7" t="n"/>
      <c r="D5" s="7" t="n"/>
      <c r="E5" s="7" t="n"/>
      <c r="F5" s="7" t="n"/>
      <c r="G5" s="8" t="n"/>
      <c r="H5" s="8" t="n"/>
      <c r="I5" s="7" t="n"/>
      <c r="J5" s="9">
        <f>IFERROR(VLOOKUP(I5,Listeler!$B$3:$C$9,2,FALSE),"")</f>
        <v/>
      </c>
      <c r="K5" s="10">
        <f>IF(H5="","",IF(I5="Tamamlandı","✓",H5-TODAY()))</f>
        <v/>
      </c>
      <c r="L5" s="10">
        <f>IF(H5="","",IF(I5="Tamamlandı","Tamamlandı",IF(H5&lt;TODAY(),"GECİKTİ",IF(H5=TODAY(),"Bugün",H5-TODAY()&amp;" gün kaldı"))))</f>
        <v/>
      </c>
      <c r="M5" s="7" t="n"/>
      <c r="N5" s="7" t="n"/>
      <c r="O5" s="7" t="n"/>
    </row>
    <row r="6" ht="22" customHeight="1">
      <c r="A6" s="7" t="n"/>
      <c r="B6" s="7" t="n"/>
      <c r="C6" s="7" t="n"/>
      <c r="D6" s="7" t="n"/>
      <c r="E6" s="7" t="n"/>
      <c r="F6" s="7" t="n"/>
      <c r="G6" s="8" t="n"/>
      <c r="H6" s="8" t="n"/>
      <c r="I6" s="7" t="n"/>
      <c r="J6" s="9">
        <f>IFERROR(VLOOKUP(I6,Listeler!$B$3:$C$9,2,FALSE),"")</f>
        <v/>
      </c>
      <c r="K6" s="10">
        <f>IF(H6="","",IF(I6="Tamamlandı","✓",H6-TODAY()))</f>
        <v/>
      </c>
      <c r="L6" s="10">
        <f>IF(H6="","",IF(I6="Tamamlandı","Tamamlandı",IF(H6&lt;TODAY(),"GECİKTİ",IF(H6=TODAY(),"Bugün",H6-TODAY()&amp;" gün kaldı"))))</f>
        <v/>
      </c>
      <c r="M6" s="7" t="n"/>
      <c r="N6" s="7" t="n"/>
      <c r="O6" s="7" t="n"/>
    </row>
    <row r="7" ht="22" customHeight="1">
      <c r="A7" s="7" t="n"/>
      <c r="B7" s="7" t="n"/>
      <c r="C7" s="7" t="n"/>
      <c r="D7" s="7" t="n"/>
      <c r="E7" s="7" t="n"/>
      <c r="F7" s="7" t="n"/>
      <c r="G7" s="8" t="n"/>
      <c r="H7" s="8" t="n"/>
      <c r="I7" s="7" t="n"/>
      <c r="J7" s="9">
        <f>IFERROR(VLOOKUP(I7,Listeler!$B$3:$C$9,2,FALSE),"")</f>
        <v/>
      </c>
      <c r="K7" s="10">
        <f>IF(H7="","",IF(I7="Tamamlandı","✓",H7-TODAY()))</f>
        <v/>
      </c>
      <c r="L7" s="10">
        <f>IF(H7="","",IF(I7="Tamamlandı","Tamamlandı",IF(H7&lt;TODAY(),"GECİKTİ",IF(H7=TODAY(),"Bugün",H7-TODAY()&amp;" gün kaldı"))))</f>
        <v/>
      </c>
      <c r="M7" s="7" t="n"/>
      <c r="N7" s="7" t="n"/>
      <c r="O7" s="7" t="n"/>
    </row>
    <row r="8" ht="22" customHeight="1">
      <c r="A8" s="7" t="n"/>
      <c r="B8" s="7" t="n"/>
      <c r="C8" s="7" t="n"/>
      <c r="D8" s="7" t="n"/>
      <c r="E8" s="7" t="n"/>
      <c r="F8" s="7" t="n"/>
      <c r="G8" s="8" t="n"/>
      <c r="H8" s="8" t="n"/>
      <c r="I8" s="7" t="n"/>
      <c r="J8" s="9">
        <f>IFERROR(VLOOKUP(I8,Listeler!$B$3:$C$9,2,FALSE),"")</f>
        <v/>
      </c>
      <c r="K8" s="10">
        <f>IF(H8="","",IF(I8="Tamamlandı","✓",H8-TODAY()))</f>
        <v/>
      </c>
      <c r="L8" s="10">
        <f>IF(H8="","",IF(I8="Tamamlandı","Tamamlandı",IF(H8&lt;TODAY(),"GECİKTİ",IF(H8=TODAY(),"Bugün",H8-TODAY()&amp;" gün kaldı"))))</f>
        <v/>
      </c>
      <c r="M8" s="7" t="n"/>
      <c r="N8" s="7" t="n"/>
      <c r="O8" s="7" t="n"/>
    </row>
    <row r="9" ht="22" customHeight="1">
      <c r="A9" s="7" t="n"/>
      <c r="B9" s="7" t="n"/>
      <c r="C9" s="7" t="n"/>
      <c r="D9" s="7" t="n"/>
      <c r="E9" s="7" t="n"/>
      <c r="F9" s="7" t="n"/>
      <c r="G9" s="8" t="n"/>
      <c r="H9" s="8" t="n"/>
      <c r="I9" s="7" t="n"/>
      <c r="J9" s="9">
        <f>IFERROR(VLOOKUP(I9,Listeler!$B$3:$C$9,2,FALSE),"")</f>
        <v/>
      </c>
      <c r="K9" s="10">
        <f>IF(H9="","",IF(I9="Tamamlandı","✓",H9-TODAY()))</f>
        <v/>
      </c>
      <c r="L9" s="10">
        <f>IF(H9="","",IF(I9="Tamamlandı","Tamamlandı",IF(H9&lt;TODAY(),"GECİKTİ",IF(H9=TODAY(),"Bugün",H9-TODAY()&amp;" gün kaldı"))))</f>
        <v/>
      </c>
      <c r="M9" s="7" t="n"/>
      <c r="N9" s="7" t="n"/>
      <c r="O9" s="7" t="n"/>
    </row>
    <row r="10" ht="22" customHeight="1">
      <c r="A10" s="7" t="n"/>
      <c r="B10" s="7" t="n"/>
      <c r="C10" s="7" t="n"/>
      <c r="D10" s="7" t="n"/>
      <c r="E10" s="7" t="n"/>
      <c r="F10" s="7" t="n"/>
      <c r="G10" s="8" t="n"/>
      <c r="H10" s="8" t="n"/>
      <c r="I10" s="7" t="n"/>
      <c r="J10" s="9">
        <f>IFERROR(VLOOKUP(I10,Listeler!$B$3:$C$9,2,FALSE),"")</f>
        <v/>
      </c>
      <c r="K10" s="10">
        <f>IF(H10="","",IF(I10="Tamamlandı","✓",H10-TODAY()))</f>
        <v/>
      </c>
      <c r="L10" s="10">
        <f>IF(H10="","",IF(I10="Tamamlandı","Tamamlandı",IF(H10&lt;TODAY(),"GECİKTİ",IF(H10=TODAY(),"Bugün",H10-TODAY()&amp;" gün kaldı"))))</f>
        <v/>
      </c>
      <c r="M10" s="7" t="n"/>
      <c r="N10" s="7" t="n"/>
      <c r="O10" s="7" t="n"/>
    </row>
    <row r="11" ht="22" customHeight="1">
      <c r="A11" s="7" t="n"/>
      <c r="B11" s="7" t="n"/>
      <c r="C11" s="7" t="n"/>
      <c r="D11" s="7" t="n"/>
      <c r="E11" s="7" t="n"/>
      <c r="F11" s="7" t="n"/>
      <c r="G11" s="8" t="n"/>
      <c r="H11" s="8" t="n"/>
      <c r="I11" s="7" t="n"/>
      <c r="J11" s="9">
        <f>IFERROR(VLOOKUP(I11,Listeler!$B$3:$C$9,2,FALSE),"")</f>
        <v/>
      </c>
      <c r="K11" s="10">
        <f>IF(H11="","",IF(I11="Tamamlandı","✓",H11-TODAY()))</f>
        <v/>
      </c>
      <c r="L11" s="10">
        <f>IF(H11="","",IF(I11="Tamamlandı","Tamamlandı",IF(H11&lt;TODAY(),"GECİKTİ",IF(H11=TODAY(),"Bugün",H11-TODAY()&amp;" gün kaldı"))))</f>
        <v/>
      </c>
      <c r="M11" s="7" t="n"/>
      <c r="N11" s="7" t="n"/>
      <c r="O11" s="7" t="n"/>
    </row>
    <row r="12" ht="22" customHeight="1">
      <c r="A12" s="7" t="n"/>
      <c r="B12" s="7" t="n"/>
      <c r="C12" s="7" t="n"/>
      <c r="D12" s="7" t="n"/>
      <c r="E12" s="7" t="n"/>
      <c r="F12" s="7" t="n"/>
      <c r="G12" s="8" t="n"/>
      <c r="H12" s="8" t="n"/>
      <c r="I12" s="7" t="n"/>
      <c r="J12" s="9">
        <f>IFERROR(VLOOKUP(I12,Listeler!$B$3:$C$9,2,FALSE),"")</f>
        <v/>
      </c>
      <c r="K12" s="10">
        <f>IF(H12="","",IF(I12="Tamamlandı","✓",H12-TODAY()))</f>
        <v/>
      </c>
      <c r="L12" s="10">
        <f>IF(H12="","",IF(I12="Tamamlandı","Tamamlandı",IF(H12&lt;TODAY(),"GECİKTİ",IF(H12=TODAY(),"Bugün",H12-TODAY()&amp;" gün kaldı"))))</f>
        <v/>
      </c>
      <c r="M12" s="7" t="n"/>
      <c r="N12" s="7" t="n"/>
      <c r="O12" s="7" t="n"/>
    </row>
    <row r="13" ht="22" customHeight="1">
      <c r="A13" s="7" t="n"/>
      <c r="B13" s="7" t="n"/>
      <c r="C13" s="7" t="n"/>
      <c r="D13" s="7" t="n"/>
      <c r="E13" s="7" t="n"/>
      <c r="F13" s="7" t="n"/>
      <c r="G13" s="8" t="n"/>
      <c r="H13" s="8" t="n"/>
      <c r="I13" s="7" t="n"/>
      <c r="J13" s="9">
        <f>IFERROR(VLOOKUP(I13,Listeler!$B$3:$C$9,2,FALSE),"")</f>
        <v/>
      </c>
      <c r="K13" s="10">
        <f>IF(H13="","",IF(I13="Tamamlandı","✓",H13-TODAY()))</f>
        <v/>
      </c>
      <c r="L13" s="10">
        <f>IF(H13="","",IF(I13="Tamamlandı","Tamamlandı",IF(H13&lt;TODAY(),"GECİKTİ",IF(H13=TODAY(),"Bugün",H13-TODAY()&amp;" gün kaldı"))))</f>
        <v/>
      </c>
      <c r="M13" s="7" t="n"/>
      <c r="N13" s="7" t="n"/>
      <c r="O13" s="7" t="n"/>
    </row>
    <row r="14" ht="22" customHeight="1">
      <c r="A14" s="7" t="n"/>
      <c r="B14" s="7" t="n"/>
      <c r="C14" s="7" t="n"/>
      <c r="D14" s="7" t="n"/>
      <c r="E14" s="7" t="n"/>
      <c r="F14" s="7" t="n"/>
      <c r="G14" s="8" t="n"/>
      <c r="H14" s="8" t="n"/>
      <c r="I14" s="7" t="n"/>
      <c r="J14" s="9">
        <f>IFERROR(VLOOKUP(I14,Listeler!$B$3:$C$9,2,FALSE),"")</f>
        <v/>
      </c>
      <c r="K14" s="10">
        <f>IF(H14="","",IF(I14="Tamamlandı","✓",H14-TODAY()))</f>
        <v/>
      </c>
      <c r="L14" s="10">
        <f>IF(H14="","",IF(I14="Tamamlandı","Tamamlandı",IF(H14&lt;TODAY(),"GECİKTİ",IF(H14=TODAY(),"Bugün",H14-TODAY()&amp;" gün kaldı"))))</f>
        <v/>
      </c>
      <c r="M14" s="7" t="n"/>
      <c r="N14" s="7" t="n"/>
      <c r="O14" s="7" t="n"/>
    </row>
    <row r="15" ht="22" customHeight="1">
      <c r="A15" s="7" t="n"/>
      <c r="B15" s="7" t="n"/>
      <c r="C15" s="7" t="n"/>
      <c r="D15" s="7" t="n"/>
      <c r="E15" s="7" t="n"/>
      <c r="F15" s="7" t="n"/>
      <c r="G15" s="8" t="n"/>
      <c r="H15" s="8" t="n"/>
      <c r="I15" s="7" t="n"/>
      <c r="J15" s="9">
        <f>IFERROR(VLOOKUP(I15,Listeler!$B$3:$C$9,2,FALSE),"")</f>
        <v/>
      </c>
      <c r="K15" s="10">
        <f>IF(H15="","",IF(I15="Tamamlandı","✓",H15-TODAY()))</f>
        <v/>
      </c>
      <c r="L15" s="10">
        <f>IF(H15="","",IF(I15="Tamamlandı","Tamamlandı",IF(H15&lt;TODAY(),"GECİKTİ",IF(H15=TODAY(),"Bugün",H15-TODAY()&amp;" gün kaldı"))))</f>
        <v/>
      </c>
      <c r="M15" s="7" t="n"/>
      <c r="N15" s="7" t="n"/>
      <c r="O15" s="7" t="n"/>
    </row>
    <row r="16" ht="22" customHeight="1">
      <c r="A16" s="7" t="n"/>
      <c r="B16" s="7" t="n"/>
      <c r="C16" s="7" t="n"/>
      <c r="D16" s="7" t="n"/>
      <c r="E16" s="7" t="n"/>
      <c r="F16" s="7" t="n"/>
      <c r="G16" s="8" t="n"/>
      <c r="H16" s="8" t="n"/>
      <c r="I16" s="7" t="n"/>
      <c r="J16" s="9">
        <f>IFERROR(VLOOKUP(I16,Listeler!$B$3:$C$9,2,FALSE),"")</f>
        <v/>
      </c>
      <c r="K16" s="10">
        <f>IF(H16="","",IF(I16="Tamamlandı","✓",H16-TODAY()))</f>
        <v/>
      </c>
      <c r="L16" s="10">
        <f>IF(H16="","",IF(I16="Tamamlandı","Tamamlandı",IF(H16&lt;TODAY(),"GECİKTİ",IF(H16=TODAY(),"Bugün",H16-TODAY()&amp;" gün kaldı"))))</f>
        <v/>
      </c>
      <c r="M16" s="7" t="n"/>
      <c r="N16" s="7" t="n"/>
      <c r="O16" s="7" t="n"/>
    </row>
    <row r="17" ht="22" customHeight="1">
      <c r="A17" s="7" t="n"/>
      <c r="B17" s="7" t="n"/>
      <c r="C17" s="7" t="n"/>
      <c r="D17" s="7" t="n"/>
      <c r="E17" s="7" t="n"/>
      <c r="F17" s="7" t="n"/>
      <c r="G17" s="8" t="n"/>
      <c r="H17" s="8" t="n"/>
      <c r="I17" s="7" t="n"/>
      <c r="J17" s="9">
        <f>IFERROR(VLOOKUP(I17,Listeler!$B$3:$C$9,2,FALSE),"")</f>
        <v/>
      </c>
      <c r="K17" s="10">
        <f>IF(H17="","",IF(I17="Tamamlandı","✓",H17-TODAY()))</f>
        <v/>
      </c>
      <c r="L17" s="10">
        <f>IF(H17="","",IF(I17="Tamamlandı","Tamamlandı",IF(H17&lt;TODAY(),"GECİKTİ",IF(H17=TODAY(),"Bugün",H17-TODAY()&amp;" gün kaldı"))))</f>
        <v/>
      </c>
      <c r="M17" s="7" t="n"/>
      <c r="N17" s="7" t="n"/>
      <c r="O17" s="7" t="n"/>
    </row>
    <row r="18" ht="22" customHeight="1">
      <c r="A18" s="7" t="n"/>
      <c r="B18" s="7" t="n"/>
      <c r="C18" s="7" t="n"/>
      <c r="D18" s="7" t="n"/>
      <c r="E18" s="7" t="n"/>
      <c r="F18" s="7" t="n"/>
      <c r="G18" s="8" t="n"/>
      <c r="H18" s="8" t="n"/>
      <c r="I18" s="7" t="n"/>
      <c r="J18" s="9">
        <f>IFERROR(VLOOKUP(I18,Listeler!$B$3:$C$9,2,FALSE),"")</f>
        <v/>
      </c>
      <c r="K18" s="10">
        <f>IF(H18="","",IF(I18="Tamamlandı","✓",H18-TODAY()))</f>
        <v/>
      </c>
      <c r="L18" s="10">
        <f>IF(H18="","",IF(I18="Tamamlandı","Tamamlandı",IF(H18&lt;TODAY(),"GECİKTİ",IF(H18=TODAY(),"Bugün",H18-TODAY()&amp;" gün kaldı"))))</f>
        <v/>
      </c>
      <c r="M18" s="7" t="n"/>
      <c r="N18" s="7" t="n"/>
      <c r="O18" s="7" t="n"/>
    </row>
    <row r="19" ht="22" customHeight="1">
      <c r="A19" s="7" t="n"/>
      <c r="B19" s="7" t="n"/>
      <c r="C19" s="7" t="n"/>
      <c r="D19" s="7" t="n"/>
      <c r="E19" s="7" t="n"/>
      <c r="F19" s="7" t="n"/>
      <c r="G19" s="8" t="n"/>
      <c r="H19" s="8" t="n"/>
      <c r="I19" s="7" t="n"/>
      <c r="J19" s="9">
        <f>IFERROR(VLOOKUP(I19,Listeler!$B$3:$C$9,2,FALSE),"")</f>
        <v/>
      </c>
      <c r="K19" s="10">
        <f>IF(H19="","",IF(I19="Tamamlandı","✓",H19-TODAY()))</f>
        <v/>
      </c>
      <c r="L19" s="10">
        <f>IF(H19="","",IF(I19="Tamamlandı","Tamamlandı",IF(H19&lt;TODAY(),"GECİKTİ",IF(H19=TODAY(),"Bugün",H19-TODAY()&amp;" gün kaldı"))))</f>
        <v/>
      </c>
      <c r="M19" s="7" t="n"/>
      <c r="N19" s="7" t="n"/>
      <c r="O19" s="7" t="n"/>
    </row>
    <row r="20" ht="22" customHeight="1">
      <c r="A20" s="7" t="n"/>
      <c r="B20" s="7" t="n"/>
      <c r="C20" s="7" t="n"/>
      <c r="D20" s="7" t="n"/>
      <c r="E20" s="7" t="n"/>
      <c r="F20" s="7" t="n"/>
      <c r="G20" s="8" t="n"/>
      <c r="H20" s="8" t="n"/>
      <c r="I20" s="7" t="n"/>
      <c r="J20" s="9">
        <f>IFERROR(VLOOKUP(I20,Listeler!$B$3:$C$9,2,FALSE),"")</f>
        <v/>
      </c>
      <c r="K20" s="10">
        <f>IF(H20="","",IF(I20="Tamamlandı","✓",H20-TODAY()))</f>
        <v/>
      </c>
      <c r="L20" s="10">
        <f>IF(H20="","",IF(I20="Tamamlandı","Tamamlandı",IF(H20&lt;TODAY(),"GECİKTİ",IF(H20=TODAY(),"Bugün",H20-TODAY()&amp;" gün kaldı"))))</f>
        <v/>
      </c>
      <c r="M20" s="7" t="n"/>
      <c r="N20" s="7" t="n"/>
      <c r="O20" s="7" t="n"/>
    </row>
    <row r="21" ht="22" customHeight="1">
      <c r="A21" s="7" t="n"/>
      <c r="B21" s="7" t="n"/>
      <c r="C21" s="7" t="n"/>
      <c r="D21" s="7" t="n"/>
      <c r="E21" s="7" t="n"/>
      <c r="F21" s="7" t="n"/>
      <c r="G21" s="8" t="n"/>
      <c r="H21" s="8" t="n"/>
      <c r="I21" s="7" t="n"/>
      <c r="J21" s="9">
        <f>IFERROR(VLOOKUP(I21,Listeler!$B$3:$C$9,2,FALSE),"")</f>
        <v/>
      </c>
      <c r="K21" s="10">
        <f>IF(H21="","",IF(I21="Tamamlandı","✓",H21-TODAY()))</f>
        <v/>
      </c>
      <c r="L21" s="10">
        <f>IF(H21="","",IF(I21="Tamamlandı","Tamamlandı",IF(H21&lt;TODAY(),"GECİKTİ",IF(H21=TODAY(),"Bugün",H21-TODAY()&amp;" gün kaldı"))))</f>
        <v/>
      </c>
      <c r="M21" s="7" t="n"/>
      <c r="N21" s="7" t="n"/>
      <c r="O21" s="7" t="n"/>
    </row>
    <row r="22" ht="22" customHeight="1">
      <c r="A22" s="7" t="n"/>
      <c r="B22" s="7" t="n"/>
      <c r="C22" s="7" t="n"/>
      <c r="D22" s="7" t="n"/>
      <c r="E22" s="7" t="n"/>
      <c r="F22" s="7" t="n"/>
      <c r="G22" s="8" t="n"/>
      <c r="H22" s="8" t="n"/>
      <c r="I22" s="7" t="n"/>
      <c r="J22" s="9">
        <f>IFERROR(VLOOKUP(I22,Listeler!$B$3:$C$9,2,FALSE),"")</f>
        <v/>
      </c>
      <c r="K22" s="10">
        <f>IF(H22="","",IF(I22="Tamamlandı","✓",H22-TODAY()))</f>
        <v/>
      </c>
      <c r="L22" s="10">
        <f>IF(H22="","",IF(I22="Tamamlandı","Tamamlandı",IF(H22&lt;TODAY(),"GECİKTİ",IF(H22=TODAY(),"Bugün",H22-TODAY()&amp;" gün kaldı"))))</f>
        <v/>
      </c>
      <c r="M22" s="7" t="n"/>
      <c r="N22" s="7" t="n"/>
      <c r="O22" s="7" t="n"/>
    </row>
    <row r="23" ht="22" customHeight="1">
      <c r="A23" s="7" t="n"/>
      <c r="B23" s="7" t="n"/>
      <c r="C23" s="7" t="n"/>
      <c r="D23" s="7" t="n"/>
      <c r="E23" s="7" t="n"/>
      <c r="F23" s="7" t="n"/>
      <c r="G23" s="8" t="n"/>
      <c r="H23" s="8" t="n"/>
      <c r="I23" s="7" t="n"/>
      <c r="J23" s="9">
        <f>IFERROR(VLOOKUP(I23,Listeler!$B$3:$C$9,2,FALSE),"")</f>
        <v/>
      </c>
      <c r="K23" s="10">
        <f>IF(H23="","",IF(I23="Tamamlandı","✓",H23-TODAY()))</f>
        <v/>
      </c>
      <c r="L23" s="10">
        <f>IF(H23="","",IF(I23="Tamamlandı","Tamamlandı",IF(H23&lt;TODAY(),"GECİKTİ",IF(H23=TODAY(),"Bugün",H23-TODAY()&amp;" gün kaldı"))))</f>
        <v/>
      </c>
      <c r="M23" s="7" t="n"/>
      <c r="N23" s="7" t="n"/>
      <c r="O23" s="7" t="n"/>
    </row>
    <row r="24" ht="22" customHeight="1">
      <c r="A24" s="7" t="n"/>
      <c r="B24" s="7" t="n"/>
      <c r="C24" s="7" t="n"/>
      <c r="D24" s="7" t="n"/>
      <c r="E24" s="7" t="n"/>
      <c r="F24" s="7" t="n"/>
      <c r="G24" s="8" t="n"/>
      <c r="H24" s="8" t="n"/>
      <c r="I24" s="7" t="n"/>
      <c r="J24" s="9">
        <f>IFERROR(VLOOKUP(I24,Listeler!$B$3:$C$9,2,FALSE),"")</f>
        <v/>
      </c>
      <c r="K24" s="10">
        <f>IF(H24="","",IF(I24="Tamamlandı","✓",H24-TODAY()))</f>
        <v/>
      </c>
      <c r="L24" s="10">
        <f>IF(H24="","",IF(I24="Tamamlandı","Tamamlandı",IF(H24&lt;TODAY(),"GECİKTİ",IF(H24=TODAY(),"Bugün",H24-TODAY()&amp;" gün kaldı"))))</f>
        <v/>
      </c>
      <c r="M24" s="7" t="n"/>
      <c r="N24" s="7" t="n"/>
      <c r="O24" s="7" t="n"/>
    </row>
    <row r="25" ht="22" customHeight="1">
      <c r="A25" s="7" t="n"/>
      <c r="B25" s="7" t="n"/>
      <c r="C25" s="7" t="n"/>
      <c r="D25" s="7" t="n"/>
      <c r="E25" s="7" t="n"/>
      <c r="F25" s="7" t="n"/>
      <c r="G25" s="8" t="n"/>
      <c r="H25" s="8" t="n"/>
      <c r="I25" s="7" t="n"/>
      <c r="J25" s="9">
        <f>IFERROR(VLOOKUP(I25,Listeler!$B$3:$C$9,2,FALSE),"")</f>
        <v/>
      </c>
      <c r="K25" s="10">
        <f>IF(H25="","",IF(I25="Tamamlandı","✓",H25-TODAY()))</f>
        <v/>
      </c>
      <c r="L25" s="10">
        <f>IF(H25="","",IF(I25="Tamamlandı","Tamamlandı",IF(H25&lt;TODAY(),"GECİKTİ",IF(H25=TODAY(),"Bugün",H25-TODAY()&amp;" gün kaldı"))))</f>
        <v/>
      </c>
      <c r="M25" s="7" t="n"/>
      <c r="N25" s="7" t="n"/>
      <c r="O25" s="7" t="n"/>
    </row>
    <row r="26" ht="22" customHeight="1">
      <c r="A26" s="7" t="n"/>
      <c r="B26" s="7" t="n"/>
      <c r="C26" s="7" t="n"/>
      <c r="D26" s="7" t="n"/>
      <c r="E26" s="7" t="n"/>
      <c r="F26" s="7" t="n"/>
      <c r="G26" s="8" t="n"/>
      <c r="H26" s="8" t="n"/>
      <c r="I26" s="7" t="n"/>
      <c r="J26" s="9">
        <f>IFERROR(VLOOKUP(I26,Listeler!$B$3:$C$9,2,FALSE),"")</f>
        <v/>
      </c>
      <c r="K26" s="10">
        <f>IF(H26="","",IF(I26="Tamamlandı","✓",H26-TODAY()))</f>
        <v/>
      </c>
      <c r="L26" s="10">
        <f>IF(H26="","",IF(I26="Tamamlandı","Tamamlandı",IF(H26&lt;TODAY(),"GECİKTİ",IF(H26=TODAY(),"Bugün",H26-TODAY()&amp;" gün kaldı"))))</f>
        <v/>
      </c>
      <c r="M26" s="7" t="n"/>
      <c r="N26" s="7" t="n"/>
      <c r="O26" s="7" t="n"/>
    </row>
    <row r="27" ht="22" customHeight="1">
      <c r="A27" s="7" t="n"/>
      <c r="B27" s="7" t="n"/>
      <c r="C27" s="7" t="n"/>
      <c r="D27" s="7" t="n"/>
      <c r="E27" s="7" t="n"/>
      <c r="F27" s="7" t="n"/>
      <c r="G27" s="8" t="n"/>
      <c r="H27" s="8" t="n"/>
      <c r="I27" s="7" t="n"/>
      <c r="J27" s="9">
        <f>IFERROR(VLOOKUP(I27,Listeler!$B$3:$C$9,2,FALSE),"")</f>
        <v/>
      </c>
      <c r="K27" s="10">
        <f>IF(H27="","",IF(I27="Tamamlandı","✓",H27-TODAY()))</f>
        <v/>
      </c>
      <c r="L27" s="10">
        <f>IF(H27="","",IF(I27="Tamamlandı","Tamamlandı",IF(H27&lt;TODAY(),"GECİKTİ",IF(H27=TODAY(),"Bugün",H27-TODAY()&amp;" gün kaldı"))))</f>
        <v/>
      </c>
      <c r="M27" s="7" t="n"/>
      <c r="N27" s="7" t="n"/>
      <c r="O27" s="7" t="n"/>
    </row>
    <row r="28" ht="22" customHeight="1">
      <c r="A28" s="7" t="n"/>
      <c r="B28" s="7" t="n"/>
      <c r="C28" s="7" t="n"/>
      <c r="D28" s="7" t="n"/>
      <c r="E28" s="7" t="n"/>
      <c r="F28" s="7" t="n"/>
      <c r="G28" s="8" t="n"/>
      <c r="H28" s="8" t="n"/>
      <c r="I28" s="7" t="n"/>
      <c r="J28" s="9">
        <f>IFERROR(VLOOKUP(I28,Listeler!$B$3:$C$9,2,FALSE),"")</f>
        <v/>
      </c>
      <c r="K28" s="10">
        <f>IF(H28="","",IF(I28="Tamamlandı","✓",H28-TODAY()))</f>
        <v/>
      </c>
      <c r="L28" s="10">
        <f>IF(H28="","",IF(I28="Tamamlandı","Tamamlandı",IF(H28&lt;TODAY(),"GECİKTİ",IF(H28=TODAY(),"Bugün",H28-TODAY()&amp;" gün kaldı"))))</f>
        <v/>
      </c>
      <c r="M28" s="7" t="n"/>
      <c r="N28" s="7" t="n"/>
      <c r="O28" s="7" t="n"/>
    </row>
    <row r="29" ht="22" customHeight="1">
      <c r="A29" s="7" t="n"/>
      <c r="B29" s="7" t="n"/>
      <c r="C29" s="7" t="n"/>
      <c r="D29" s="7" t="n"/>
      <c r="E29" s="7" t="n"/>
      <c r="F29" s="7" t="n"/>
      <c r="G29" s="8" t="n"/>
      <c r="H29" s="8" t="n"/>
      <c r="I29" s="7" t="n"/>
      <c r="J29" s="9">
        <f>IFERROR(VLOOKUP(I29,Listeler!$B$3:$C$9,2,FALSE),"")</f>
        <v/>
      </c>
      <c r="K29" s="10">
        <f>IF(H29="","",IF(I29="Tamamlandı","✓",H29-TODAY()))</f>
        <v/>
      </c>
      <c r="L29" s="10">
        <f>IF(H29="","",IF(I29="Tamamlandı","Tamamlandı",IF(H29&lt;TODAY(),"GECİKTİ",IF(H29=TODAY(),"Bugün",H29-TODAY()&amp;" gün kaldı"))))</f>
        <v/>
      </c>
      <c r="M29" s="7" t="n"/>
      <c r="N29" s="7" t="n"/>
      <c r="O29" s="7" t="n"/>
    </row>
    <row r="30" ht="22" customHeight="1">
      <c r="A30" s="7" t="n"/>
      <c r="B30" s="7" t="n"/>
      <c r="C30" s="7" t="n"/>
      <c r="D30" s="7" t="n"/>
      <c r="E30" s="7" t="n"/>
      <c r="F30" s="7" t="n"/>
      <c r="G30" s="8" t="n"/>
      <c r="H30" s="8" t="n"/>
      <c r="I30" s="7" t="n"/>
      <c r="J30" s="9">
        <f>IFERROR(VLOOKUP(I30,Listeler!$B$3:$C$9,2,FALSE),"")</f>
        <v/>
      </c>
      <c r="K30" s="10">
        <f>IF(H30="","",IF(I30="Tamamlandı","✓",H30-TODAY()))</f>
        <v/>
      </c>
      <c r="L30" s="10">
        <f>IF(H30="","",IF(I30="Tamamlandı","Tamamlandı",IF(H30&lt;TODAY(),"GECİKTİ",IF(H30=TODAY(),"Bugün",H30-TODAY()&amp;" gün kaldı"))))</f>
        <v/>
      </c>
      <c r="M30" s="7" t="n"/>
      <c r="N30" s="7" t="n"/>
      <c r="O30" s="7" t="n"/>
    </row>
    <row r="31" ht="22" customHeight="1">
      <c r="A31" s="7" t="n"/>
      <c r="B31" s="7" t="n"/>
      <c r="C31" s="7" t="n"/>
      <c r="D31" s="7" t="n"/>
      <c r="E31" s="7" t="n"/>
      <c r="F31" s="7" t="n"/>
      <c r="G31" s="8" t="n"/>
      <c r="H31" s="8" t="n"/>
      <c r="I31" s="7" t="n"/>
      <c r="J31" s="9">
        <f>IFERROR(VLOOKUP(I31,Listeler!$B$3:$C$9,2,FALSE),"")</f>
        <v/>
      </c>
      <c r="K31" s="10">
        <f>IF(H31="","",IF(I31="Tamamlandı","✓",H31-TODAY()))</f>
        <v/>
      </c>
      <c r="L31" s="10">
        <f>IF(H31="","",IF(I31="Tamamlandı","Tamamlandı",IF(H31&lt;TODAY(),"GECİKTİ",IF(H31=TODAY(),"Bugün",H31-TODAY()&amp;" gün kaldı"))))</f>
        <v/>
      </c>
      <c r="M31" s="7" t="n"/>
      <c r="N31" s="7" t="n"/>
      <c r="O31" s="7" t="n"/>
    </row>
    <row r="32" ht="22" customHeight="1">
      <c r="A32" s="7" t="n"/>
      <c r="B32" s="7" t="n"/>
      <c r="C32" s="7" t="n"/>
      <c r="D32" s="7" t="n"/>
      <c r="E32" s="7" t="n"/>
      <c r="F32" s="7" t="n"/>
      <c r="G32" s="8" t="n"/>
      <c r="H32" s="8" t="n"/>
      <c r="I32" s="7" t="n"/>
      <c r="J32" s="9">
        <f>IFERROR(VLOOKUP(I32,Listeler!$B$3:$C$9,2,FALSE),"")</f>
        <v/>
      </c>
      <c r="K32" s="10">
        <f>IF(H32="","",IF(I32="Tamamlandı","✓",H32-TODAY()))</f>
        <v/>
      </c>
      <c r="L32" s="10">
        <f>IF(H32="","",IF(I32="Tamamlandı","Tamamlandı",IF(H32&lt;TODAY(),"GECİKTİ",IF(H32=TODAY(),"Bugün",H32-TODAY()&amp;" gün kaldı"))))</f>
        <v/>
      </c>
      <c r="M32" s="7" t="n"/>
      <c r="N32" s="7" t="n"/>
      <c r="O32" s="7" t="n"/>
    </row>
    <row r="33" ht="22" customHeight="1">
      <c r="A33" s="7" t="n"/>
      <c r="B33" s="7" t="n"/>
      <c r="C33" s="7" t="n"/>
      <c r="D33" s="7" t="n"/>
      <c r="E33" s="7" t="n"/>
      <c r="F33" s="7" t="n"/>
      <c r="G33" s="8" t="n"/>
      <c r="H33" s="8" t="n"/>
      <c r="I33" s="7" t="n"/>
      <c r="J33" s="9">
        <f>IFERROR(VLOOKUP(I33,Listeler!$B$3:$C$9,2,FALSE),"")</f>
        <v/>
      </c>
      <c r="K33" s="10">
        <f>IF(H33="","",IF(I33="Tamamlandı","✓",H33-TODAY()))</f>
        <v/>
      </c>
      <c r="L33" s="10">
        <f>IF(H33="","",IF(I33="Tamamlandı","Tamamlandı",IF(H33&lt;TODAY(),"GECİKTİ",IF(H33=TODAY(),"Bugün",H33-TODAY()&amp;" gün kaldı"))))</f>
        <v/>
      </c>
      <c r="M33" s="7" t="n"/>
      <c r="N33" s="7" t="n"/>
      <c r="O33" s="7" t="n"/>
    </row>
    <row r="34" ht="22" customHeight="1">
      <c r="A34" s="7" t="n"/>
      <c r="B34" s="7" t="n"/>
      <c r="C34" s="7" t="n"/>
      <c r="D34" s="7" t="n"/>
      <c r="E34" s="7" t="n"/>
      <c r="F34" s="7" t="n"/>
      <c r="G34" s="8" t="n"/>
      <c r="H34" s="8" t="n"/>
      <c r="I34" s="7" t="n"/>
      <c r="J34" s="9">
        <f>IFERROR(VLOOKUP(I34,Listeler!$B$3:$C$9,2,FALSE),"")</f>
        <v/>
      </c>
      <c r="K34" s="10">
        <f>IF(H34="","",IF(I34="Tamamlandı","✓",H34-TODAY()))</f>
        <v/>
      </c>
      <c r="L34" s="10">
        <f>IF(H34="","",IF(I34="Tamamlandı","Tamamlandı",IF(H34&lt;TODAY(),"GECİKTİ",IF(H34=TODAY(),"Bugün",H34-TODAY()&amp;" gün kaldı"))))</f>
        <v/>
      </c>
      <c r="M34" s="7" t="n"/>
      <c r="N34" s="7" t="n"/>
      <c r="O34" s="7" t="n"/>
    </row>
    <row r="35" ht="22" customHeight="1">
      <c r="A35" s="7" t="n"/>
      <c r="B35" s="7" t="n"/>
      <c r="C35" s="7" t="n"/>
      <c r="D35" s="7" t="n"/>
      <c r="E35" s="7" t="n"/>
      <c r="F35" s="7" t="n"/>
      <c r="G35" s="8" t="n"/>
      <c r="H35" s="8" t="n"/>
      <c r="I35" s="7" t="n"/>
      <c r="J35" s="9">
        <f>IFERROR(VLOOKUP(I35,Listeler!$B$3:$C$9,2,FALSE),"")</f>
        <v/>
      </c>
      <c r="K35" s="10">
        <f>IF(H35="","",IF(I35="Tamamlandı","✓",H35-TODAY()))</f>
        <v/>
      </c>
      <c r="L35" s="10">
        <f>IF(H35="","",IF(I35="Tamamlandı","Tamamlandı",IF(H35&lt;TODAY(),"GECİKTİ",IF(H35=TODAY(),"Bugün",H35-TODAY()&amp;" gün kaldı"))))</f>
        <v/>
      </c>
      <c r="M35" s="7" t="n"/>
      <c r="N35" s="7" t="n"/>
      <c r="O35" s="7" t="n"/>
    </row>
    <row r="36" ht="22" customHeight="1">
      <c r="A36" s="7" t="n"/>
      <c r="B36" s="7" t="n"/>
      <c r="C36" s="7" t="n"/>
      <c r="D36" s="7" t="n"/>
      <c r="E36" s="7" t="n"/>
      <c r="F36" s="7" t="n"/>
      <c r="G36" s="8" t="n"/>
      <c r="H36" s="8" t="n"/>
      <c r="I36" s="7" t="n"/>
      <c r="J36" s="9">
        <f>IFERROR(VLOOKUP(I36,Listeler!$B$3:$C$9,2,FALSE),"")</f>
        <v/>
      </c>
      <c r="K36" s="10">
        <f>IF(H36="","",IF(I36="Tamamlandı","✓",H36-TODAY()))</f>
        <v/>
      </c>
      <c r="L36" s="10">
        <f>IF(H36="","",IF(I36="Tamamlandı","Tamamlandı",IF(H36&lt;TODAY(),"GECİKTİ",IF(H36=TODAY(),"Bugün",H36-TODAY()&amp;" gün kaldı"))))</f>
        <v/>
      </c>
      <c r="M36" s="7" t="n"/>
      <c r="N36" s="7" t="n"/>
      <c r="O36" s="7" t="n"/>
    </row>
    <row r="37" ht="22" customHeight="1">
      <c r="A37" s="7" t="n"/>
      <c r="B37" s="7" t="n"/>
      <c r="C37" s="7" t="n"/>
      <c r="D37" s="7" t="n"/>
      <c r="E37" s="7" t="n"/>
      <c r="F37" s="7" t="n"/>
      <c r="G37" s="8" t="n"/>
      <c r="H37" s="8" t="n"/>
      <c r="I37" s="7" t="n"/>
      <c r="J37" s="9">
        <f>IFERROR(VLOOKUP(I37,Listeler!$B$3:$C$9,2,FALSE),"")</f>
        <v/>
      </c>
      <c r="K37" s="10">
        <f>IF(H37="","",IF(I37="Tamamlandı","✓",H37-TODAY()))</f>
        <v/>
      </c>
      <c r="L37" s="10">
        <f>IF(H37="","",IF(I37="Tamamlandı","Tamamlandı",IF(H37&lt;TODAY(),"GECİKTİ",IF(H37=TODAY(),"Bugün",H37-TODAY()&amp;" gün kaldı"))))</f>
        <v/>
      </c>
      <c r="M37" s="7" t="n"/>
      <c r="N37" s="7" t="n"/>
      <c r="O37" s="7" t="n"/>
    </row>
    <row r="38" ht="22" customHeight="1">
      <c r="A38" s="7" t="n"/>
      <c r="B38" s="7" t="n"/>
      <c r="C38" s="7" t="n"/>
      <c r="D38" s="7" t="n"/>
      <c r="E38" s="7" t="n"/>
      <c r="F38" s="7" t="n"/>
      <c r="G38" s="8" t="n"/>
      <c r="H38" s="8" t="n"/>
      <c r="I38" s="7" t="n"/>
      <c r="J38" s="9">
        <f>IFERROR(VLOOKUP(I38,Listeler!$B$3:$C$9,2,FALSE),"")</f>
        <v/>
      </c>
      <c r="K38" s="10">
        <f>IF(H38="","",IF(I38="Tamamlandı","✓",H38-TODAY()))</f>
        <v/>
      </c>
      <c r="L38" s="10">
        <f>IF(H38="","",IF(I38="Tamamlandı","Tamamlandı",IF(H38&lt;TODAY(),"GECİKTİ",IF(H38=TODAY(),"Bugün",H38-TODAY()&amp;" gün kaldı"))))</f>
        <v/>
      </c>
      <c r="M38" s="7" t="n"/>
      <c r="N38" s="7" t="n"/>
      <c r="O38" s="7" t="n"/>
    </row>
    <row r="39" ht="22" customHeight="1">
      <c r="A39" s="7" t="n"/>
      <c r="B39" s="7" t="n"/>
      <c r="C39" s="7" t="n"/>
      <c r="D39" s="7" t="n"/>
      <c r="E39" s="7" t="n"/>
      <c r="F39" s="7" t="n"/>
      <c r="G39" s="8" t="n"/>
      <c r="H39" s="8" t="n"/>
      <c r="I39" s="7" t="n"/>
      <c r="J39" s="9">
        <f>IFERROR(VLOOKUP(I39,Listeler!$B$3:$C$9,2,FALSE),"")</f>
        <v/>
      </c>
      <c r="K39" s="10">
        <f>IF(H39="","",IF(I39="Tamamlandı","✓",H39-TODAY()))</f>
        <v/>
      </c>
      <c r="L39" s="10">
        <f>IF(H39="","",IF(I39="Tamamlandı","Tamamlandı",IF(H39&lt;TODAY(),"GECİKTİ",IF(H39=TODAY(),"Bugün",H39-TODAY()&amp;" gün kaldı"))))</f>
        <v/>
      </c>
      <c r="M39" s="7" t="n"/>
      <c r="N39" s="7" t="n"/>
      <c r="O39" s="7" t="n"/>
    </row>
    <row r="40" ht="22" customHeight="1">
      <c r="A40" s="7" t="n"/>
      <c r="B40" s="7" t="n"/>
      <c r="C40" s="7" t="n"/>
      <c r="D40" s="7" t="n"/>
      <c r="E40" s="7" t="n"/>
      <c r="F40" s="7" t="n"/>
      <c r="G40" s="8" t="n"/>
      <c r="H40" s="8" t="n"/>
      <c r="I40" s="7" t="n"/>
      <c r="J40" s="9">
        <f>IFERROR(VLOOKUP(I40,Listeler!$B$3:$C$9,2,FALSE),"")</f>
        <v/>
      </c>
      <c r="K40" s="10">
        <f>IF(H40="","",IF(I40="Tamamlandı","✓",H40-TODAY()))</f>
        <v/>
      </c>
      <c r="L40" s="10">
        <f>IF(H40="","",IF(I40="Tamamlandı","Tamamlandı",IF(H40&lt;TODAY(),"GECİKTİ",IF(H40=TODAY(),"Bugün",H40-TODAY()&amp;" gün kaldı"))))</f>
        <v/>
      </c>
      <c r="M40" s="7" t="n"/>
      <c r="N40" s="7" t="n"/>
      <c r="O40" s="7" t="n"/>
    </row>
    <row r="41" ht="22" customHeight="1">
      <c r="A41" s="7" t="n"/>
      <c r="B41" s="7" t="n"/>
      <c r="C41" s="7" t="n"/>
      <c r="D41" s="7" t="n"/>
      <c r="E41" s="7" t="n"/>
      <c r="F41" s="7" t="n"/>
      <c r="G41" s="8" t="n"/>
      <c r="H41" s="8" t="n"/>
      <c r="I41" s="7" t="n"/>
      <c r="J41" s="9">
        <f>IFERROR(VLOOKUP(I41,Listeler!$B$3:$C$9,2,FALSE),"")</f>
        <v/>
      </c>
      <c r="K41" s="10">
        <f>IF(H41="","",IF(I41="Tamamlandı","✓",H41-TODAY()))</f>
        <v/>
      </c>
      <c r="L41" s="10">
        <f>IF(H41="","",IF(I41="Tamamlandı","Tamamlandı",IF(H41&lt;TODAY(),"GECİKTİ",IF(H41=TODAY(),"Bugün",H41-TODAY()&amp;" gün kaldı"))))</f>
        <v/>
      </c>
      <c r="M41" s="7" t="n"/>
      <c r="N41" s="7" t="n"/>
      <c r="O41" s="7" t="n"/>
    </row>
    <row r="42" ht="22" customHeight="1">
      <c r="A42" s="7" t="n"/>
      <c r="B42" s="7" t="n"/>
      <c r="C42" s="7" t="n"/>
      <c r="D42" s="7" t="n"/>
      <c r="E42" s="7" t="n"/>
      <c r="F42" s="7" t="n"/>
      <c r="G42" s="8" t="n"/>
      <c r="H42" s="8" t="n"/>
      <c r="I42" s="7" t="n"/>
      <c r="J42" s="9">
        <f>IFERROR(VLOOKUP(I42,Listeler!$B$3:$C$9,2,FALSE),"")</f>
        <v/>
      </c>
      <c r="K42" s="10">
        <f>IF(H42="","",IF(I42="Tamamlandı","✓",H42-TODAY()))</f>
        <v/>
      </c>
      <c r="L42" s="10">
        <f>IF(H42="","",IF(I42="Tamamlandı","Tamamlandı",IF(H42&lt;TODAY(),"GECİKTİ",IF(H42=TODAY(),"Bugün",H42-TODAY()&amp;" gün kaldı"))))</f>
        <v/>
      </c>
      <c r="M42" s="7" t="n"/>
      <c r="N42" s="7" t="n"/>
      <c r="O42" s="7" t="n"/>
    </row>
    <row r="43" ht="22" customHeight="1">
      <c r="A43" s="7" t="n"/>
      <c r="B43" s="7" t="n"/>
      <c r="C43" s="7" t="n"/>
      <c r="D43" s="7" t="n"/>
      <c r="E43" s="7" t="n"/>
      <c r="F43" s="7" t="n"/>
      <c r="G43" s="8" t="n"/>
      <c r="H43" s="8" t="n"/>
      <c r="I43" s="7" t="n"/>
      <c r="J43" s="9">
        <f>IFERROR(VLOOKUP(I43,Listeler!$B$3:$C$9,2,FALSE),"")</f>
        <v/>
      </c>
      <c r="K43" s="10">
        <f>IF(H43="","",IF(I43="Tamamlandı","✓",H43-TODAY()))</f>
        <v/>
      </c>
      <c r="L43" s="10">
        <f>IF(H43="","",IF(I43="Tamamlandı","Tamamlandı",IF(H43&lt;TODAY(),"GECİKTİ",IF(H43=TODAY(),"Bugün",H43-TODAY()&amp;" gün kaldı"))))</f>
        <v/>
      </c>
      <c r="M43" s="7" t="n"/>
      <c r="N43" s="7" t="n"/>
      <c r="O43" s="7" t="n"/>
    </row>
    <row r="44" ht="22" customHeight="1">
      <c r="A44" s="7" t="n"/>
      <c r="B44" s="7" t="n"/>
      <c r="C44" s="7" t="n"/>
      <c r="D44" s="7" t="n"/>
      <c r="E44" s="7" t="n"/>
      <c r="F44" s="7" t="n"/>
      <c r="G44" s="8" t="n"/>
      <c r="H44" s="8" t="n"/>
      <c r="I44" s="7" t="n"/>
      <c r="J44" s="9">
        <f>IFERROR(VLOOKUP(I44,Listeler!$B$3:$C$9,2,FALSE),"")</f>
        <v/>
      </c>
      <c r="K44" s="10">
        <f>IF(H44="","",IF(I44="Tamamlandı","✓",H44-TODAY()))</f>
        <v/>
      </c>
      <c r="L44" s="10">
        <f>IF(H44="","",IF(I44="Tamamlandı","Tamamlandı",IF(H44&lt;TODAY(),"GECİKTİ",IF(H44=TODAY(),"Bugün",H44-TODAY()&amp;" gün kaldı"))))</f>
        <v/>
      </c>
      <c r="M44" s="7" t="n"/>
      <c r="N44" s="7" t="n"/>
      <c r="O44" s="7" t="n"/>
    </row>
    <row r="45" ht="22" customHeight="1">
      <c r="A45" s="7" t="n"/>
      <c r="B45" s="7" t="n"/>
      <c r="C45" s="7" t="n"/>
      <c r="D45" s="7" t="n"/>
      <c r="E45" s="7" t="n"/>
      <c r="F45" s="7" t="n"/>
      <c r="G45" s="8" t="n"/>
      <c r="H45" s="8" t="n"/>
      <c r="I45" s="7" t="n"/>
      <c r="J45" s="9">
        <f>IFERROR(VLOOKUP(I45,Listeler!$B$3:$C$9,2,FALSE),"")</f>
        <v/>
      </c>
      <c r="K45" s="10">
        <f>IF(H45="","",IF(I45="Tamamlandı","✓",H45-TODAY()))</f>
        <v/>
      </c>
      <c r="L45" s="10">
        <f>IF(H45="","",IF(I45="Tamamlandı","Tamamlandı",IF(H45&lt;TODAY(),"GECİKTİ",IF(H45=TODAY(),"Bugün",H45-TODAY()&amp;" gün kaldı"))))</f>
        <v/>
      </c>
      <c r="M45" s="7" t="n"/>
      <c r="N45" s="7" t="n"/>
      <c r="O45" s="7" t="n"/>
    </row>
    <row r="46" ht="22" customHeight="1">
      <c r="A46" s="7" t="n"/>
      <c r="B46" s="7" t="n"/>
      <c r="C46" s="7" t="n"/>
      <c r="D46" s="7" t="n"/>
      <c r="E46" s="7" t="n"/>
      <c r="F46" s="7" t="n"/>
      <c r="G46" s="8" t="n"/>
      <c r="H46" s="8" t="n"/>
      <c r="I46" s="7" t="n"/>
      <c r="J46" s="9">
        <f>IFERROR(VLOOKUP(I46,Listeler!$B$3:$C$9,2,FALSE),"")</f>
        <v/>
      </c>
      <c r="K46" s="10">
        <f>IF(H46="","",IF(I46="Tamamlandı","✓",H46-TODAY()))</f>
        <v/>
      </c>
      <c r="L46" s="10">
        <f>IF(H46="","",IF(I46="Tamamlandı","Tamamlandı",IF(H46&lt;TODAY(),"GECİKTİ",IF(H46=TODAY(),"Bugün",H46-TODAY()&amp;" gün kaldı"))))</f>
        <v/>
      </c>
      <c r="M46" s="7" t="n"/>
      <c r="N46" s="7" t="n"/>
      <c r="O46" s="7" t="n"/>
    </row>
    <row r="47" ht="22" customHeight="1">
      <c r="A47" s="7" t="n"/>
      <c r="B47" s="7" t="n"/>
      <c r="C47" s="7" t="n"/>
      <c r="D47" s="7" t="n"/>
      <c r="E47" s="7" t="n"/>
      <c r="F47" s="7" t="n"/>
      <c r="G47" s="8" t="n"/>
      <c r="H47" s="8" t="n"/>
      <c r="I47" s="7" t="n"/>
      <c r="J47" s="9">
        <f>IFERROR(VLOOKUP(I47,Listeler!$B$3:$C$9,2,FALSE),"")</f>
        <v/>
      </c>
      <c r="K47" s="10">
        <f>IF(H47="","",IF(I47="Tamamlandı","✓",H47-TODAY()))</f>
        <v/>
      </c>
      <c r="L47" s="10">
        <f>IF(H47="","",IF(I47="Tamamlandı","Tamamlandı",IF(H47&lt;TODAY(),"GECİKTİ",IF(H47=TODAY(),"Bugün",H47-TODAY()&amp;" gün kaldı"))))</f>
        <v/>
      </c>
      <c r="M47" s="7" t="n"/>
      <c r="N47" s="7" t="n"/>
      <c r="O47" s="7" t="n"/>
    </row>
    <row r="48" ht="22" customHeight="1">
      <c r="A48" s="7" t="n"/>
      <c r="B48" s="7" t="n"/>
      <c r="C48" s="7" t="n"/>
      <c r="D48" s="7" t="n"/>
      <c r="E48" s="7" t="n"/>
      <c r="F48" s="7" t="n"/>
      <c r="G48" s="8" t="n"/>
      <c r="H48" s="8" t="n"/>
      <c r="I48" s="7" t="n"/>
      <c r="J48" s="9">
        <f>IFERROR(VLOOKUP(I48,Listeler!$B$3:$C$9,2,FALSE),"")</f>
        <v/>
      </c>
      <c r="K48" s="10">
        <f>IF(H48="","",IF(I48="Tamamlandı","✓",H48-TODAY()))</f>
        <v/>
      </c>
      <c r="L48" s="10">
        <f>IF(H48="","",IF(I48="Tamamlandı","Tamamlandı",IF(H48&lt;TODAY(),"GECİKTİ",IF(H48=TODAY(),"Bugün",H48-TODAY()&amp;" gün kaldı"))))</f>
        <v/>
      </c>
      <c r="M48" s="7" t="n"/>
      <c r="N48" s="7" t="n"/>
      <c r="O48" s="7" t="n"/>
    </row>
    <row r="49" ht="22" customHeight="1">
      <c r="A49" s="7" t="n"/>
      <c r="B49" s="7" t="n"/>
      <c r="C49" s="7" t="n"/>
      <c r="D49" s="7" t="n"/>
      <c r="E49" s="7" t="n"/>
      <c r="F49" s="7" t="n"/>
      <c r="G49" s="8" t="n"/>
      <c r="H49" s="8" t="n"/>
      <c r="I49" s="7" t="n"/>
      <c r="J49" s="9">
        <f>IFERROR(VLOOKUP(I49,Listeler!$B$3:$C$9,2,FALSE),"")</f>
        <v/>
      </c>
      <c r="K49" s="10">
        <f>IF(H49="","",IF(I49="Tamamlandı","✓",H49-TODAY()))</f>
        <v/>
      </c>
      <c r="L49" s="10">
        <f>IF(H49="","",IF(I49="Tamamlandı","Tamamlandı",IF(H49&lt;TODAY(),"GECİKTİ",IF(H49=TODAY(),"Bugün",H49-TODAY()&amp;" gün kaldı"))))</f>
        <v/>
      </c>
      <c r="M49" s="7" t="n"/>
      <c r="N49" s="7" t="n"/>
      <c r="O49" s="7" t="n"/>
    </row>
    <row r="50" ht="22" customHeight="1">
      <c r="A50" s="7" t="n"/>
      <c r="B50" s="7" t="n"/>
      <c r="C50" s="7" t="n"/>
      <c r="D50" s="7" t="n"/>
      <c r="E50" s="7" t="n"/>
      <c r="F50" s="7" t="n"/>
      <c r="G50" s="8" t="n"/>
      <c r="H50" s="8" t="n"/>
      <c r="I50" s="7" t="n"/>
      <c r="J50" s="9">
        <f>IFERROR(VLOOKUP(I50,Listeler!$B$3:$C$9,2,FALSE),"")</f>
        <v/>
      </c>
      <c r="K50" s="10">
        <f>IF(H50="","",IF(I50="Tamamlandı","✓",H50-TODAY()))</f>
        <v/>
      </c>
      <c r="L50" s="10">
        <f>IF(H50="","",IF(I50="Tamamlandı","Tamamlandı",IF(H50&lt;TODAY(),"GECİKTİ",IF(H50=TODAY(),"Bugün",H50-TODAY()&amp;" gün kaldı"))))</f>
        <v/>
      </c>
      <c r="M50" s="7" t="n"/>
      <c r="N50" s="7" t="n"/>
      <c r="O50" s="7" t="n"/>
    </row>
    <row r="51" ht="22" customHeight="1">
      <c r="A51" s="7" t="n"/>
      <c r="B51" s="7" t="n"/>
      <c r="C51" s="7" t="n"/>
      <c r="D51" s="7" t="n"/>
      <c r="E51" s="7" t="n"/>
      <c r="F51" s="7" t="n"/>
      <c r="G51" s="8" t="n"/>
      <c r="H51" s="8" t="n"/>
      <c r="I51" s="7" t="n"/>
      <c r="J51" s="9">
        <f>IFERROR(VLOOKUP(I51,Listeler!$B$3:$C$9,2,FALSE),"")</f>
        <v/>
      </c>
      <c r="K51" s="10">
        <f>IF(H51="","",IF(I51="Tamamlandı","✓",H51-TODAY()))</f>
        <v/>
      </c>
      <c r="L51" s="10">
        <f>IF(H51="","",IF(I51="Tamamlandı","Tamamlandı",IF(H51&lt;TODAY(),"GECİKTİ",IF(H51=TODAY(),"Bugün",H51-TODAY()&amp;" gün kaldı"))))</f>
        <v/>
      </c>
      <c r="M51" s="7" t="n"/>
      <c r="N51" s="7" t="n"/>
      <c r="O51" s="7" t="n"/>
    </row>
    <row r="52" ht="22" customHeight="1">
      <c r="A52" s="7" t="n"/>
      <c r="B52" s="7" t="n"/>
      <c r="C52" s="7" t="n"/>
      <c r="D52" s="7" t="n"/>
      <c r="E52" s="7" t="n"/>
      <c r="F52" s="7" t="n"/>
      <c r="G52" s="8" t="n"/>
      <c r="H52" s="8" t="n"/>
      <c r="I52" s="7" t="n"/>
      <c r="J52" s="9">
        <f>IFERROR(VLOOKUP(I52,Listeler!$B$3:$C$9,2,FALSE),"")</f>
        <v/>
      </c>
      <c r="K52" s="10">
        <f>IF(H52="","",IF(I52="Tamamlandı","✓",H52-TODAY()))</f>
        <v/>
      </c>
      <c r="L52" s="10">
        <f>IF(H52="","",IF(I52="Tamamlandı","Tamamlandı",IF(H52&lt;TODAY(),"GECİKTİ",IF(H52=TODAY(),"Bugün",H52-TODAY()&amp;" gün kaldı"))))</f>
        <v/>
      </c>
      <c r="M52" s="7" t="n"/>
      <c r="N52" s="7" t="n"/>
      <c r="O52" s="7" t="n"/>
    </row>
    <row r="53" ht="22" customHeight="1">
      <c r="A53" s="7" t="n"/>
      <c r="B53" s="7" t="n"/>
      <c r="C53" s="7" t="n"/>
      <c r="D53" s="7" t="n"/>
      <c r="E53" s="7" t="n"/>
      <c r="F53" s="7" t="n"/>
      <c r="G53" s="8" t="n"/>
      <c r="H53" s="8" t="n"/>
      <c r="I53" s="7" t="n"/>
      <c r="J53" s="9">
        <f>IFERROR(VLOOKUP(I53,Listeler!$B$3:$C$9,2,FALSE),"")</f>
        <v/>
      </c>
      <c r="K53" s="10">
        <f>IF(H53="","",IF(I53="Tamamlandı","✓",H53-TODAY()))</f>
        <v/>
      </c>
      <c r="L53" s="10">
        <f>IF(H53="","",IF(I53="Tamamlandı","Tamamlandı",IF(H53&lt;TODAY(),"GECİKTİ",IF(H53=TODAY(),"Bugün",H53-TODAY()&amp;" gün kaldı"))))</f>
        <v/>
      </c>
      <c r="M53" s="7" t="n"/>
      <c r="N53" s="7" t="n"/>
      <c r="O53" s="7" t="n"/>
    </row>
    <row r="54" ht="22" customHeight="1">
      <c r="A54" s="7" t="n"/>
      <c r="B54" s="7" t="n"/>
      <c r="C54" s="7" t="n"/>
      <c r="D54" s="7" t="n"/>
      <c r="E54" s="7" t="n"/>
      <c r="F54" s="7" t="n"/>
      <c r="G54" s="8" t="n"/>
      <c r="H54" s="8" t="n"/>
      <c r="I54" s="7" t="n"/>
      <c r="J54" s="9">
        <f>IFERROR(VLOOKUP(I54,Listeler!$B$3:$C$9,2,FALSE),"")</f>
        <v/>
      </c>
      <c r="K54" s="10">
        <f>IF(H54="","",IF(I54="Tamamlandı","✓",H54-TODAY()))</f>
        <v/>
      </c>
      <c r="L54" s="10">
        <f>IF(H54="","",IF(I54="Tamamlandı","Tamamlandı",IF(H54&lt;TODAY(),"GECİKTİ",IF(H54=TODAY(),"Bugün",H54-TODAY()&amp;" gün kaldı"))))</f>
        <v/>
      </c>
      <c r="M54" s="7" t="n"/>
      <c r="N54" s="7" t="n"/>
      <c r="O54" s="7" t="n"/>
    </row>
    <row r="55" ht="22" customHeight="1">
      <c r="A55" s="7" t="n"/>
      <c r="B55" s="7" t="n"/>
      <c r="C55" s="7" t="n"/>
      <c r="D55" s="7" t="n"/>
      <c r="E55" s="7" t="n"/>
      <c r="F55" s="7" t="n"/>
      <c r="G55" s="8" t="n"/>
      <c r="H55" s="8" t="n"/>
      <c r="I55" s="7" t="n"/>
      <c r="J55" s="9">
        <f>IFERROR(VLOOKUP(I55,Listeler!$B$3:$C$9,2,FALSE),"")</f>
        <v/>
      </c>
      <c r="K55" s="10">
        <f>IF(H55="","",IF(I55="Tamamlandı","✓",H55-TODAY()))</f>
        <v/>
      </c>
      <c r="L55" s="10">
        <f>IF(H55="","",IF(I55="Tamamlandı","Tamamlandı",IF(H55&lt;TODAY(),"GECİKTİ",IF(H55=TODAY(),"Bugün",H55-TODAY()&amp;" gün kaldı"))))</f>
        <v/>
      </c>
      <c r="M55" s="7" t="n"/>
      <c r="N55" s="7" t="n"/>
      <c r="O55" s="7" t="n"/>
    </row>
    <row r="56" ht="22" customHeight="1">
      <c r="A56" s="7" t="n"/>
      <c r="B56" s="7" t="n"/>
      <c r="C56" s="7" t="n"/>
      <c r="D56" s="7" t="n"/>
      <c r="E56" s="7" t="n"/>
      <c r="F56" s="7" t="n"/>
      <c r="G56" s="8" t="n"/>
      <c r="H56" s="8" t="n"/>
      <c r="I56" s="7" t="n"/>
      <c r="J56" s="9">
        <f>IFERROR(VLOOKUP(I56,Listeler!$B$3:$C$9,2,FALSE),"")</f>
        <v/>
      </c>
      <c r="K56" s="10">
        <f>IF(H56="","",IF(I56="Tamamlandı","✓",H56-TODAY()))</f>
        <v/>
      </c>
      <c r="L56" s="10">
        <f>IF(H56="","",IF(I56="Tamamlandı","Tamamlandı",IF(H56&lt;TODAY(),"GECİKTİ",IF(H56=TODAY(),"Bugün",H56-TODAY()&amp;" gün kaldı"))))</f>
        <v/>
      </c>
      <c r="M56" s="7" t="n"/>
      <c r="N56" s="7" t="n"/>
      <c r="O56" s="7" t="n"/>
    </row>
    <row r="57" ht="22" customHeight="1">
      <c r="A57" s="7" t="n"/>
      <c r="B57" s="7" t="n"/>
      <c r="C57" s="7" t="n"/>
      <c r="D57" s="7" t="n"/>
      <c r="E57" s="7" t="n"/>
      <c r="F57" s="7" t="n"/>
      <c r="G57" s="8" t="n"/>
      <c r="H57" s="8" t="n"/>
      <c r="I57" s="7" t="n"/>
      <c r="J57" s="9">
        <f>IFERROR(VLOOKUP(I57,Listeler!$B$3:$C$9,2,FALSE),"")</f>
        <v/>
      </c>
      <c r="K57" s="10">
        <f>IF(H57="","",IF(I57="Tamamlandı","✓",H57-TODAY()))</f>
        <v/>
      </c>
      <c r="L57" s="10">
        <f>IF(H57="","",IF(I57="Tamamlandı","Tamamlandı",IF(H57&lt;TODAY(),"GECİKTİ",IF(H57=TODAY(),"Bugün",H57-TODAY()&amp;" gün kaldı"))))</f>
        <v/>
      </c>
      <c r="M57" s="7" t="n"/>
      <c r="N57" s="7" t="n"/>
      <c r="O57" s="7" t="n"/>
    </row>
    <row r="58" ht="22" customHeight="1">
      <c r="A58" s="7" t="n"/>
      <c r="B58" s="7" t="n"/>
      <c r="C58" s="7" t="n"/>
      <c r="D58" s="7" t="n"/>
      <c r="E58" s="7" t="n"/>
      <c r="F58" s="7" t="n"/>
      <c r="G58" s="8" t="n"/>
      <c r="H58" s="8" t="n"/>
      <c r="I58" s="7" t="n"/>
      <c r="J58" s="9">
        <f>IFERROR(VLOOKUP(I58,Listeler!$B$3:$C$9,2,FALSE),"")</f>
        <v/>
      </c>
      <c r="K58" s="10">
        <f>IF(H58="","",IF(I58="Tamamlandı","✓",H58-TODAY()))</f>
        <v/>
      </c>
      <c r="L58" s="10">
        <f>IF(H58="","",IF(I58="Tamamlandı","Tamamlandı",IF(H58&lt;TODAY(),"GECİKTİ",IF(H58=TODAY(),"Bugün",H58-TODAY()&amp;" gün kaldı"))))</f>
        <v/>
      </c>
      <c r="M58" s="7" t="n"/>
      <c r="N58" s="7" t="n"/>
      <c r="O58" s="7" t="n"/>
    </row>
    <row r="59" ht="22" customHeight="1">
      <c r="A59" s="7" t="n"/>
      <c r="B59" s="7" t="n"/>
      <c r="C59" s="7" t="n"/>
      <c r="D59" s="7" t="n"/>
      <c r="E59" s="7" t="n"/>
      <c r="F59" s="7" t="n"/>
      <c r="G59" s="8" t="n"/>
      <c r="H59" s="8" t="n"/>
      <c r="I59" s="7" t="n"/>
      <c r="J59" s="9">
        <f>IFERROR(VLOOKUP(I59,Listeler!$B$3:$C$9,2,FALSE),"")</f>
        <v/>
      </c>
      <c r="K59" s="10">
        <f>IF(H59="","",IF(I59="Tamamlandı","✓",H59-TODAY()))</f>
        <v/>
      </c>
      <c r="L59" s="10">
        <f>IF(H59="","",IF(I59="Tamamlandı","Tamamlandı",IF(H59&lt;TODAY(),"GECİKTİ",IF(H59=TODAY(),"Bugün",H59-TODAY()&amp;" gün kaldı"))))</f>
        <v/>
      </c>
      <c r="M59" s="7" t="n"/>
      <c r="N59" s="7" t="n"/>
      <c r="O59" s="7" t="n"/>
    </row>
    <row r="60" ht="22" customHeight="1">
      <c r="A60" s="7" t="n"/>
      <c r="B60" s="7" t="n"/>
      <c r="C60" s="7" t="n"/>
      <c r="D60" s="7" t="n"/>
      <c r="E60" s="7" t="n"/>
      <c r="F60" s="7" t="n"/>
      <c r="G60" s="8" t="n"/>
      <c r="H60" s="8" t="n"/>
      <c r="I60" s="7" t="n"/>
      <c r="J60" s="9">
        <f>IFERROR(VLOOKUP(I60,Listeler!$B$3:$C$9,2,FALSE),"")</f>
        <v/>
      </c>
      <c r="K60" s="10">
        <f>IF(H60="","",IF(I60="Tamamlandı","✓",H60-TODAY()))</f>
        <v/>
      </c>
      <c r="L60" s="10">
        <f>IF(H60="","",IF(I60="Tamamlandı","Tamamlandı",IF(H60&lt;TODAY(),"GECİKTİ",IF(H60=TODAY(),"Bugün",H60-TODAY()&amp;" gün kaldı"))))</f>
        <v/>
      </c>
      <c r="M60" s="7" t="n"/>
      <c r="N60" s="7" t="n"/>
      <c r="O60" s="7" t="n"/>
    </row>
    <row r="61" ht="22" customHeight="1">
      <c r="A61" s="7" t="n"/>
      <c r="B61" s="7" t="n"/>
      <c r="C61" s="7" t="n"/>
      <c r="D61" s="7" t="n"/>
      <c r="E61" s="7" t="n"/>
      <c r="F61" s="7" t="n"/>
      <c r="G61" s="8" t="n"/>
      <c r="H61" s="8" t="n"/>
      <c r="I61" s="7" t="n"/>
      <c r="J61" s="9">
        <f>IFERROR(VLOOKUP(I61,Listeler!$B$3:$C$9,2,FALSE),"")</f>
        <v/>
      </c>
      <c r="K61" s="10">
        <f>IF(H61="","",IF(I61="Tamamlandı","✓",H61-TODAY()))</f>
        <v/>
      </c>
      <c r="L61" s="10">
        <f>IF(H61="","",IF(I61="Tamamlandı","Tamamlandı",IF(H61&lt;TODAY(),"GECİKTİ",IF(H61=TODAY(),"Bugün",H61-TODAY()&amp;" gün kaldı"))))</f>
        <v/>
      </c>
      <c r="M61" s="7" t="n"/>
      <c r="N61" s="7" t="n"/>
      <c r="O61" s="7" t="n"/>
    </row>
    <row r="62" ht="22" customHeight="1">
      <c r="A62" s="7" t="n"/>
      <c r="B62" s="7" t="n"/>
      <c r="C62" s="7" t="n"/>
      <c r="D62" s="7" t="n"/>
      <c r="E62" s="7" t="n"/>
      <c r="F62" s="7" t="n"/>
      <c r="G62" s="8" t="n"/>
      <c r="H62" s="8" t="n"/>
      <c r="I62" s="7" t="n"/>
      <c r="J62" s="9">
        <f>IFERROR(VLOOKUP(I62,Listeler!$B$3:$C$9,2,FALSE),"")</f>
        <v/>
      </c>
      <c r="K62" s="10">
        <f>IF(H62="","",IF(I62="Tamamlandı","✓",H62-TODAY()))</f>
        <v/>
      </c>
      <c r="L62" s="10">
        <f>IF(H62="","",IF(I62="Tamamlandı","Tamamlandı",IF(H62&lt;TODAY(),"GECİKTİ",IF(H62=TODAY(),"Bugün",H62-TODAY()&amp;" gün kaldı"))))</f>
        <v/>
      </c>
      <c r="M62" s="7" t="n"/>
      <c r="N62" s="7" t="n"/>
      <c r="O62" s="7" t="n"/>
    </row>
    <row r="63" ht="22" customHeight="1">
      <c r="A63" s="7" t="n"/>
      <c r="B63" s="7" t="n"/>
      <c r="C63" s="7" t="n"/>
      <c r="D63" s="7" t="n"/>
      <c r="E63" s="7" t="n"/>
      <c r="F63" s="7" t="n"/>
      <c r="G63" s="8" t="n"/>
      <c r="H63" s="8" t="n"/>
      <c r="I63" s="7" t="n"/>
      <c r="J63" s="9">
        <f>IFERROR(VLOOKUP(I63,Listeler!$B$3:$C$9,2,FALSE),"")</f>
        <v/>
      </c>
      <c r="K63" s="10">
        <f>IF(H63="","",IF(I63="Tamamlandı","✓",H63-TODAY()))</f>
        <v/>
      </c>
      <c r="L63" s="10">
        <f>IF(H63="","",IF(I63="Tamamlandı","Tamamlandı",IF(H63&lt;TODAY(),"GECİKTİ",IF(H63=TODAY(),"Bugün",H63-TODAY()&amp;" gün kaldı"))))</f>
        <v/>
      </c>
      <c r="M63" s="7" t="n"/>
      <c r="N63" s="7" t="n"/>
      <c r="O63" s="7" t="n"/>
    </row>
    <row r="64" ht="22" customHeight="1">
      <c r="A64" s="7" t="n"/>
      <c r="B64" s="7" t="n"/>
      <c r="C64" s="7" t="n"/>
      <c r="D64" s="7" t="n"/>
      <c r="E64" s="7" t="n"/>
      <c r="F64" s="7" t="n"/>
      <c r="G64" s="8" t="n"/>
      <c r="H64" s="8" t="n"/>
      <c r="I64" s="7" t="n"/>
      <c r="J64" s="9">
        <f>IFERROR(VLOOKUP(I64,Listeler!$B$3:$C$9,2,FALSE),"")</f>
        <v/>
      </c>
      <c r="K64" s="10">
        <f>IF(H64="","",IF(I64="Tamamlandı","✓",H64-TODAY()))</f>
        <v/>
      </c>
      <c r="L64" s="10">
        <f>IF(H64="","",IF(I64="Tamamlandı","Tamamlandı",IF(H64&lt;TODAY(),"GECİKTİ",IF(H64=TODAY(),"Bugün",H64-TODAY()&amp;" gün kaldı"))))</f>
        <v/>
      </c>
      <c r="M64" s="7" t="n"/>
      <c r="N64" s="7" t="n"/>
      <c r="O64" s="7" t="n"/>
    </row>
    <row r="65" ht="22" customHeight="1">
      <c r="A65" s="7" t="n"/>
      <c r="B65" s="7" t="n"/>
      <c r="C65" s="7" t="n"/>
      <c r="D65" s="7" t="n"/>
      <c r="E65" s="7" t="n"/>
      <c r="F65" s="7" t="n"/>
      <c r="G65" s="8" t="n"/>
      <c r="H65" s="8" t="n"/>
      <c r="I65" s="7" t="n"/>
      <c r="J65" s="9">
        <f>IFERROR(VLOOKUP(I65,Listeler!$B$3:$C$9,2,FALSE),"")</f>
        <v/>
      </c>
      <c r="K65" s="10">
        <f>IF(H65="","",IF(I65="Tamamlandı","✓",H65-TODAY()))</f>
        <v/>
      </c>
      <c r="L65" s="10">
        <f>IF(H65="","",IF(I65="Tamamlandı","Tamamlandı",IF(H65&lt;TODAY(),"GECİKTİ",IF(H65=TODAY(),"Bugün",H65-TODAY()&amp;" gün kaldı"))))</f>
        <v/>
      </c>
      <c r="M65" s="7" t="n"/>
      <c r="N65" s="7" t="n"/>
      <c r="O65" s="7" t="n"/>
    </row>
    <row r="66" ht="22" customHeight="1">
      <c r="A66" s="7" t="n"/>
      <c r="B66" s="7" t="n"/>
      <c r="C66" s="7" t="n"/>
      <c r="D66" s="7" t="n"/>
      <c r="E66" s="7" t="n"/>
      <c r="F66" s="7" t="n"/>
      <c r="G66" s="8" t="n"/>
      <c r="H66" s="8" t="n"/>
      <c r="I66" s="7" t="n"/>
      <c r="J66" s="9">
        <f>IFERROR(VLOOKUP(I66,Listeler!$B$3:$C$9,2,FALSE),"")</f>
        <v/>
      </c>
      <c r="K66" s="10">
        <f>IF(H66="","",IF(I66="Tamamlandı","✓",H66-TODAY()))</f>
        <v/>
      </c>
      <c r="L66" s="10">
        <f>IF(H66="","",IF(I66="Tamamlandı","Tamamlandı",IF(H66&lt;TODAY(),"GECİKTİ",IF(H66=TODAY(),"Bugün",H66-TODAY()&amp;" gün kaldı"))))</f>
        <v/>
      </c>
      <c r="M66" s="7" t="n"/>
      <c r="N66" s="7" t="n"/>
      <c r="O66" s="7" t="n"/>
    </row>
    <row r="67" ht="22" customHeight="1">
      <c r="A67" s="7" t="n"/>
      <c r="B67" s="7" t="n"/>
      <c r="C67" s="7" t="n"/>
      <c r="D67" s="7" t="n"/>
      <c r="E67" s="7" t="n"/>
      <c r="F67" s="7" t="n"/>
      <c r="G67" s="8" t="n"/>
      <c r="H67" s="8" t="n"/>
      <c r="I67" s="7" t="n"/>
      <c r="J67" s="9">
        <f>IFERROR(VLOOKUP(I67,Listeler!$B$3:$C$9,2,FALSE),"")</f>
        <v/>
      </c>
      <c r="K67" s="10">
        <f>IF(H67="","",IF(I67="Tamamlandı","✓",H67-TODAY()))</f>
        <v/>
      </c>
      <c r="L67" s="10">
        <f>IF(H67="","",IF(I67="Tamamlandı","Tamamlandı",IF(H67&lt;TODAY(),"GECİKTİ",IF(H67=TODAY(),"Bugün",H67-TODAY()&amp;" gün kaldı"))))</f>
        <v/>
      </c>
      <c r="M67" s="7" t="n"/>
      <c r="N67" s="7" t="n"/>
      <c r="O67" s="7" t="n"/>
    </row>
    <row r="68" ht="22" customHeight="1">
      <c r="A68" s="7" t="n"/>
      <c r="B68" s="7" t="n"/>
      <c r="C68" s="7" t="n"/>
      <c r="D68" s="7" t="n"/>
      <c r="E68" s="7" t="n"/>
      <c r="F68" s="7" t="n"/>
      <c r="G68" s="8" t="n"/>
      <c r="H68" s="8" t="n"/>
      <c r="I68" s="7" t="n"/>
      <c r="J68" s="9">
        <f>IFERROR(VLOOKUP(I68,Listeler!$B$3:$C$9,2,FALSE),"")</f>
        <v/>
      </c>
      <c r="K68" s="10">
        <f>IF(H68="","",IF(I68="Tamamlandı","✓",H68-TODAY()))</f>
        <v/>
      </c>
      <c r="L68" s="10">
        <f>IF(H68="","",IF(I68="Tamamlandı","Tamamlandı",IF(H68&lt;TODAY(),"GECİKTİ",IF(H68=TODAY(),"Bugün",H68-TODAY()&amp;" gün kaldı"))))</f>
        <v/>
      </c>
      <c r="M68" s="7" t="n"/>
      <c r="N68" s="7" t="n"/>
      <c r="O68" s="7" t="n"/>
    </row>
    <row r="69" ht="22" customHeight="1">
      <c r="A69" s="7" t="n"/>
      <c r="B69" s="7" t="n"/>
      <c r="C69" s="7" t="n"/>
      <c r="D69" s="7" t="n"/>
      <c r="E69" s="7" t="n"/>
      <c r="F69" s="7" t="n"/>
      <c r="G69" s="8" t="n"/>
      <c r="H69" s="8" t="n"/>
      <c r="I69" s="7" t="n"/>
      <c r="J69" s="9">
        <f>IFERROR(VLOOKUP(I69,Listeler!$B$3:$C$9,2,FALSE),"")</f>
        <v/>
      </c>
      <c r="K69" s="10">
        <f>IF(H69="","",IF(I69="Tamamlandı","✓",H69-TODAY()))</f>
        <v/>
      </c>
      <c r="L69" s="10">
        <f>IF(H69="","",IF(I69="Tamamlandı","Tamamlandı",IF(H69&lt;TODAY(),"GECİKTİ",IF(H69=TODAY(),"Bugün",H69-TODAY()&amp;" gün kaldı"))))</f>
        <v/>
      </c>
      <c r="M69" s="7" t="n"/>
      <c r="N69" s="7" t="n"/>
      <c r="O69" s="7" t="n"/>
    </row>
    <row r="70" ht="22" customHeight="1">
      <c r="A70" s="7" t="n"/>
      <c r="B70" s="7" t="n"/>
      <c r="C70" s="7" t="n"/>
      <c r="D70" s="7" t="n"/>
      <c r="E70" s="7" t="n"/>
      <c r="F70" s="7" t="n"/>
      <c r="G70" s="8" t="n"/>
      <c r="H70" s="8" t="n"/>
      <c r="I70" s="7" t="n"/>
      <c r="J70" s="9">
        <f>IFERROR(VLOOKUP(I70,Listeler!$B$3:$C$9,2,FALSE),"")</f>
        <v/>
      </c>
      <c r="K70" s="10">
        <f>IF(H70="","",IF(I70="Tamamlandı","✓",H70-TODAY()))</f>
        <v/>
      </c>
      <c r="L70" s="10">
        <f>IF(H70="","",IF(I70="Tamamlandı","Tamamlandı",IF(H70&lt;TODAY(),"GECİKTİ",IF(H70=TODAY(),"Bugün",H70-TODAY()&amp;" gün kaldı"))))</f>
        <v/>
      </c>
      <c r="M70" s="7" t="n"/>
      <c r="N70" s="7" t="n"/>
      <c r="O70" s="7" t="n"/>
    </row>
    <row r="71" ht="22" customHeight="1">
      <c r="A71" s="7" t="n"/>
      <c r="B71" s="7" t="n"/>
      <c r="C71" s="7" t="n"/>
      <c r="D71" s="7" t="n"/>
      <c r="E71" s="7" t="n"/>
      <c r="F71" s="7" t="n"/>
      <c r="G71" s="8" t="n"/>
      <c r="H71" s="8" t="n"/>
      <c r="I71" s="7" t="n"/>
      <c r="J71" s="9">
        <f>IFERROR(VLOOKUP(I71,Listeler!$B$3:$C$9,2,FALSE),"")</f>
        <v/>
      </c>
      <c r="K71" s="10">
        <f>IF(H71="","",IF(I71="Tamamlandı","✓",H71-TODAY()))</f>
        <v/>
      </c>
      <c r="L71" s="10">
        <f>IF(H71="","",IF(I71="Tamamlandı","Tamamlandı",IF(H71&lt;TODAY(),"GECİKTİ",IF(H71=TODAY(),"Bugün",H71-TODAY()&amp;" gün kaldı"))))</f>
        <v/>
      </c>
      <c r="M71" s="7" t="n"/>
      <c r="N71" s="7" t="n"/>
      <c r="O71" s="7" t="n"/>
    </row>
    <row r="72" ht="22" customHeight="1">
      <c r="A72" s="7" t="n"/>
      <c r="B72" s="7" t="n"/>
      <c r="C72" s="7" t="n"/>
      <c r="D72" s="7" t="n"/>
      <c r="E72" s="7" t="n"/>
      <c r="F72" s="7" t="n"/>
      <c r="G72" s="8" t="n"/>
      <c r="H72" s="8" t="n"/>
      <c r="I72" s="7" t="n"/>
      <c r="J72" s="9">
        <f>IFERROR(VLOOKUP(I72,Listeler!$B$3:$C$9,2,FALSE),"")</f>
        <v/>
      </c>
      <c r="K72" s="10">
        <f>IF(H72="","",IF(I72="Tamamlandı","✓",H72-TODAY()))</f>
        <v/>
      </c>
      <c r="L72" s="10">
        <f>IF(H72="","",IF(I72="Tamamlandı","Tamamlandı",IF(H72&lt;TODAY(),"GECİKTİ",IF(H72=TODAY(),"Bugün",H72-TODAY()&amp;" gün kaldı"))))</f>
        <v/>
      </c>
      <c r="M72" s="7" t="n"/>
      <c r="N72" s="7" t="n"/>
      <c r="O72" s="7" t="n"/>
    </row>
    <row r="73" ht="22" customHeight="1">
      <c r="A73" s="7" t="n"/>
      <c r="B73" s="7" t="n"/>
      <c r="C73" s="7" t="n"/>
      <c r="D73" s="7" t="n"/>
      <c r="E73" s="7" t="n"/>
      <c r="F73" s="7" t="n"/>
      <c r="G73" s="8" t="n"/>
      <c r="H73" s="8" t="n"/>
      <c r="I73" s="7" t="n"/>
      <c r="J73" s="9">
        <f>IFERROR(VLOOKUP(I73,Listeler!$B$3:$C$9,2,FALSE),"")</f>
        <v/>
      </c>
      <c r="K73" s="10">
        <f>IF(H73="","",IF(I73="Tamamlandı","✓",H73-TODAY()))</f>
        <v/>
      </c>
      <c r="L73" s="10">
        <f>IF(H73="","",IF(I73="Tamamlandı","Tamamlandı",IF(H73&lt;TODAY(),"GECİKTİ",IF(H73=TODAY(),"Bugün",H73-TODAY()&amp;" gün kaldı"))))</f>
        <v/>
      </c>
      <c r="M73" s="7" t="n"/>
      <c r="N73" s="7" t="n"/>
      <c r="O73" s="7" t="n"/>
    </row>
    <row r="74" ht="22" customHeight="1">
      <c r="A74" s="7" t="n"/>
      <c r="B74" s="7" t="n"/>
      <c r="C74" s="7" t="n"/>
      <c r="D74" s="7" t="n"/>
      <c r="E74" s="7" t="n"/>
      <c r="F74" s="7" t="n"/>
      <c r="G74" s="8" t="n"/>
      <c r="H74" s="8" t="n"/>
      <c r="I74" s="7" t="n"/>
      <c r="J74" s="9">
        <f>IFERROR(VLOOKUP(I74,Listeler!$B$3:$C$9,2,FALSE),"")</f>
        <v/>
      </c>
      <c r="K74" s="10">
        <f>IF(H74="","",IF(I74="Tamamlandı","✓",H74-TODAY()))</f>
        <v/>
      </c>
      <c r="L74" s="10">
        <f>IF(H74="","",IF(I74="Tamamlandı","Tamamlandı",IF(H74&lt;TODAY(),"GECİKTİ",IF(H74=TODAY(),"Bugün",H74-TODAY()&amp;" gün kaldı"))))</f>
        <v/>
      </c>
      <c r="M74" s="7" t="n"/>
      <c r="N74" s="7" t="n"/>
      <c r="O74" s="7" t="n"/>
    </row>
    <row r="75" ht="22" customHeight="1">
      <c r="A75" s="7" t="n"/>
      <c r="B75" s="7" t="n"/>
      <c r="C75" s="7" t="n"/>
      <c r="D75" s="7" t="n"/>
      <c r="E75" s="7" t="n"/>
      <c r="F75" s="7" t="n"/>
      <c r="G75" s="8" t="n"/>
      <c r="H75" s="8" t="n"/>
      <c r="I75" s="7" t="n"/>
      <c r="J75" s="9">
        <f>IFERROR(VLOOKUP(I75,Listeler!$B$3:$C$9,2,FALSE),"")</f>
        <v/>
      </c>
      <c r="K75" s="10">
        <f>IF(H75="","",IF(I75="Tamamlandı","✓",H75-TODAY()))</f>
        <v/>
      </c>
      <c r="L75" s="10">
        <f>IF(H75="","",IF(I75="Tamamlandı","Tamamlandı",IF(H75&lt;TODAY(),"GECİKTİ",IF(H75=TODAY(),"Bugün",H75-TODAY()&amp;" gün kaldı"))))</f>
        <v/>
      </c>
      <c r="M75" s="7" t="n"/>
      <c r="N75" s="7" t="n"/>
      <c r="O75" s="7" t="n"/>
    </row>
    <row r="76" ht="22" customHeight="1">
      <c r="A76" s="7" t="n"/>
      <c r="B76" s="7" t="n"/>
      <c r="C76" s="7" t="n"/>
      <c r="D76" s="7" t="n"/>
      <c r="E76" s="7" t="n"/>
      <c r="F76" s="7" t="n"/>
      <c r="G76" s="8" t="n"/>
      <c r="H76" s="8" t="n"/>
      <c r="I76" s="7" t="n"/>
      <c r="J76" s="9">
        <f>IFERROR(VLOOKUP(I76,Listeler!$B$3:$C$9,2,FALSE),"")</f>
        <v/>
      </c>
      <c r="K76" s="10">
        <f>IF(H76="","",IF(I76="Tamamlandı","✓",H76-TODAY()))</f>
        <v/>
      </c>
      <c r="L76" s="10">
        <f>IF(H76="","",IF(I76="Tamamlandı","Tamamlandı",IF(H76&lt;TODAY(),"GECİKTİ",IF(H76=TODAY(),"Bugün",H76-TODAY()&amp;" gün kaldı"))))</f>
        <v/>
      </c>
      <c r="M76" s="7" t="n"/>
      <c r="N76" s="7" t="n"/>
      <c r="O76" s="7" t="n"/>
    </row>
    <row r="77" ht="22" customHeight="1">
      <c r="A77" s="7" t="n"/>
      <c r="B77" s="7" t="n"/>
      <c r="C77" s="7" t="n"/>
      <c r="D77" s="7" t="n"/>
      <c r="E77" s="7" t="n"/>
      <c r="F77" s="7" t="n"/>
      <c r="G77" s="8" t="n"/>
      <c r="H77" s="8" t="n"/>
      <c r="I77" s="7" t="n"/>
      <c r="J77" s="9">
        <f>IFERROR(VLOOKUP(I77,Listeler!$B$3:$C$9,2,FALSE),"")</f>
        <v/>
      </c>
      <c r="K77" s="10">
        <f>IF(H77="","",IF(I77="Tamamlandı","✓",H77-TODAY()))</f>
        <v/>
      </c>
      <c r="L77" s="10">
        <f>IF(H77="","",IF(I77="Tamamlandı","Tamamlandı",IF(H77&lt;TODAY(),"GECİKTİ",IF(H77=TODAY(),"Bugün",H77-TODAY()&amp;" gün kaldı"))))</f>
        <v/>
      </c>
      <c r="M77" s="7" t="n"/>
      <c r="N77" s="7" t="n"/>
      <c r="O77" s="7" t="n"/>
    </row>
    <row r="78" ht="22" customHeight="1">
      <c r="A78" s="7" t="n"/>
      <c r="B78" s="7" t="n"/>
      <c r="C78" s="7" t="n"/>
      <c r="D78" s="7" t="n"/>
      <c r="E78" s="7" t="n"/>
      <c r="F78" s="7" t="n"/>
      <c r="G78" s="8" t="n"/>
      <c r="H78" s="8" t="n"/>
      <c r="I78" s="7" t="n"/>
      <c r="J78" s="9">
        <f>IFERROR(VLOOKUP(I78,Listeler!$B$3:$C$9,2,FALSE),"")</f>
        <v/>
      </c>
      <c r="K78" s="10">
        <f>IF(H78="","",IF(I78="Tamamlandı","✓",H78-TODAY()))</f>
        <v/>
      </c>
      <c r="L78" s="10">
        <f>IF(H78="","",IF(I78="Tamamlandı","Tamamlandı",IF(H78&lt;TODAY(),"GECİKTİ",IF(H78=TODAY(),"Bugün",H78-TODAY()&amp;" gün kaldı"))))</f>
        <v/>
      </c>
      <c r="M78" s="7" t="n"/>
      <c r="N78" s="7" t="n"/>
      <c r="O78" s="7" t="n"/>
    </row>
    <row r="79" ht="22" customHeight="1">
      <c r="A79" s="7" t="n"/>
      <c r="B79" s="7" t="n"/>
      <c r="C79" s="7" t="n"/>
      <c r="D79" s="7" t="n"/>
      <c r="E79" s="7" t="n"/>
      <c r="F79" s="7" t="n"/>
      <c r="G79" s="8" t="n"/>
      <c r="H79" s="8" t="n"/>
      <c r="I79" s="7" t="n"/>
      <c r="J79" s="9">
        <f>IFERROR(VLOOKUP(I79,Listeler!$B$3:$C$9,2,FALSE),"")</f>
        <v/>
      </c>
      <c r="K79" s="10">
        <f>IF(H79="","",IF(I79="Tamamlandı","✓",H79-TODAY()))</f>
        <v/>
      </c>
      <c r="L79" s="10">
        <f>IF(H79="","",IF(I79="Tamamlandı","Tamamlandı",IF(H79&lt;TODAY(),"GECİKTİ",IF(H79=TODAY(),"Bugün",H79-TODAY()&amp;" gün kaldı"))))</f>
        <v/>
      </c>
      <c r="M79" s="7" t="n"/>
      <c r="N79" s="7" t="n"/>
      <c r="O79" s="7" t="n"/>
    </row>
    <row r="80" ht="22" customHeight="1">
      <c r="A80" s="7" t="n"/>
      <c r="B80" s="7" t="n"/>
      <c r="C80" s="7" t="n"/>
      <c r="D80" s="7" t="n"/>
      <c r="E80" s="7" t="n"/>
      <c r="F80" s="7" t="n"/>
      <c r="G80" s="8" t="n"/>
      <c r="H80" s="8" t="n"/>
      <c r="I80" s="7" t="n"/>
      <c r="J80" s="9">
        <f>IFERROR(VLOOKUP(I80,Listeler!$B$3:$C$9,2,FALSE),"")</f>
        <v/>
      </c>
      <c r="K80" s="10">
        <f>IF(H80="","",IF(I80="Tamamlandı","✓",H80-TODAY()))</f>
        <v/>
      </c>
      <c r="L80" s="10">
        <f>IF(H80="","",IF(I80="Tamamlandı","Tamamlandı",IF(H80&lt;TODAY(),"GECİKTİ",IF(H80=TODAY(),"Bugün",H80-TODAY()&amp;" gün kaldı"))))</f>
        <v/>
      </c>
      <c r="M80" s="7" t="n"/>
      <c r="N80" s="7" t="n"/>
      <c r="O80" s="7" t="n"/>
    </row>
    <row r="81" ht="22" customHeight="1">
      <c r="A81" s="7" t="n"/>
      <c r="B81" s="7" t="n"/>
      <c r="C81" s="7" t="n"/>
      <c r="D81" s="7" t="n"/>
      <c r="E81" s="7" t="n"/>
      <c r="F81" s="7" t="n"/>
      <c r="G81" s="8" t="n"/>
      <c r="H81" s="8" t="n"/>
      <c r="I81" s="7" t="n"/>
      <c r="J81" s="9">
        <f>IFERROR(VLOOKUP(I81,Listeler!$B$3:$C$9,2,FALSE),"")</f>
        <v/>
      </c>
      <c r="K81" s="10">
        <f>IF(H81="","",IF(I81="Tamamlandı","✓",H81-TODAY()))</f>
        <v/>
      </c>
      <c r="L81" s="10">
        <f>IF(H81="","",IF(I81="Tamamlandı","Tamamlandı",IF(H81&lt;TODAY(),"GECİKTİ",IF(H81=TODAY(),"Bugün",H81-TODAY()&amp;" gün kaldı"))))</f>
        <v/>
      </c>
      <c r="M81" s="7" t="n"/>
      <c r="N81" s="7" t="n"/>
      <c r="O81" s="7" t="n"/>
    </row>
  </sheetData>
  <autoFilter ref="A1:O1"/>
  <conditionalFormatting sqref="A2:O81">
    <cfRule type="expression" priority="1" dxfId="0" stopIfTrue="0">
      <formula>MOD(ROW(),2)=0</formula>
    </cfRule>
  </conditionalFormatting>
  <conditionalFormatting sqref="I2:I81">
    <cfRule type="cellIs" priority="2" operator="equal" dxfId="1" stopIfTrue="1">
      <formula>"Taslak"</formula>
    </cfRule>
    <cfRule type="cellIs" priority="3" operator="equal" dxfId="2" stopIfTrue="1">
      <formula>"Onay Bekliyor"</formula>
    </cfRule>
    <cfRule type="cellIs" priority="4" operator="equal" dxfId="3" stopIfTrue="1">
      <formula>"Mühendislik Sürecinde"</formula>
    </cfRule>
    <cfRule type="cellIs" priority="5" operator="equal" dxfId="4" stopIfTrue="1">
      <formula>"Mühendislik Tamamlandı"</formula>
    </cfRule>
    <cfRule type="cellIs" priority="6" operator="equal" dxfId="5" stopIfTrue="1">
      <formula>"Satın Alma Sürecinde"</formula>
    </cfRule>
    <cfRule type="cellIs" priority="7" operator="equal" dxfId="6" stopIfTrue="1">
      <formula>"Tamamlandı"</formula>
    </cfRule>
    <cfRule type="cellIs" priority="8" operator="equal" dxfId="7" stopIfTrue="1">
      <formula>"İptal"</formula>
    </cfRule>
  </conditionalFormatting>
  <conditionalFormatting sqref="L2:L81">
    <cfRule type="cellIs" priority="9" operator="equal" dxfId="8">
      <formula>"GECİKTİ"</formula>
    </cfRule>
  </conditionalFormatting>
  <dataValidations count="1">
    <dataValidation sqref="I2:I81" showDropDown="0" showInputMessage="0" showErrorMessage="0" allowBlank="1" errorTitle="Geçersiz değer" error="Lütfen listeden bir değer seçin." prompt="Açılır listeden seçin" type="list">
      <formula1>"Taslak,Onay Bekliyor,Mühendislik Sürecinde,Mühendislik Tamamlandı,Satın Alma Sürecinde,Tamamlandı,İptal"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2" customWidth="1" min="4" max="4"/>
    <col width="22" customWidth="1" min="5" max="5"/>
    <col width="22" customWidth="1" min="6" max="6"/>
    <col width="14" customWidth="1" min="7" max="7"/>
    <col width="16" customWidth="1" min="8" max="8"/>
    <col width="14" customWidth="1" min="9" max="9"/>
    <col width="20" customWidth="1" min="10" max="10"/>
    <col width="40" customWidth="1" min="11" max="11"/>
  </cols>
  <sheetData>
    <row r="1" ht="30" customHeight="1">
      <c r="A1" s="6" t="inlineStr">
        <is>
          <t>Proje Kodu</t>
        </is>
      </c>
      <c r="B1" s="6" t="inlineStr">
        <is>
          <t>Proje Adı</t>
        </is>
      </c>
      <c r="C1" s="6" t="inlineStr">
        <is>
          <t>Durum</t>
        </is>
      </c>
      <c r="D1" s="6" t="inlineStr">
        <is>
          <t>Revizyon No</t>
        </is>
      </c>
      <c r="E1" s="6" t="inlineStr">
        <is>
          <t>P&amp;ID Dosyaları</t>
        </is>
      </c>
      <c r="F1" s="6" t="inlineStr">
        <is>
          <t>Çizim Dosyaları</t>
        </is>
      </c>
      <c r="G1" s="6" t="inlineStr">
        <is>
          <t>Son Gönderim</t>
        </is>
      </c>
      <c r="H1" s="6" t="inlineStr">
        <is>
          <t>Karar Veren</t>
        </is>
      </c>
      <c r="I1" s="6" t="inlineStr">
        <is>
          <t>Karar Tarihi</t>
        </is>
      </c>
      <c r="J1" s="6" t="inlineStr">
        <is>
          <t>Satın Alma Sorumlusu</t>
        </is>
      </c>
      <c r="K1" s="6" t="inlineStr">
        <is>
          <t>Revizyon Notu / Geçmişi</t>
        </is>
      </c>
    </row>
    <row r="2" ht="22" customHeight="1">
      <c r="A2" s="7" t="inlineStr">
        <is>
          <t>SYN-2026-001</t>
        </is>
      </c>
      <c r="B2" s="11">
        <f>IFERROR(VLOOKUP(A2,'1·Proje Girişi'!$A:$B,2,FALSE),"")</f>
        <v/>
      </c>
      <c r="C2" s="7" t="inlineStr">
        <is>
          <t>Revizyon İstendi</t>
        </is>
      </c>
      <c r="D2" s="7" t="n">
        <v>2</v>
      </c>
      <c r="E2" s="7" t="n"/>
      <c r="F2" s="7" t="n"/>
      <c r="G2" s="8" t="n"/>
      <c r="H2" s="7" t="n"/>
      <c r="I2" s="8" t="n"/>
      <c r="J2" s="7" t="n"/>
      <c r="K2" s="7" t="inlineStr">
        <is>
          <t>Rev.1: P&amp;ID hat çapı revize. Rev.2: pompa konumu Arşen tarafından revizyona alındı.</t>
        </is>
      </c>
    </row>
    <row r="3" ht="22" customHeight="1">
      <c r="A3" s="7" t="n"/>
      <c r="B3" s="11">
        <f>IFERROR(VLOOKUP(A3,'1·Proje Girişi'!$A:$B,2,FALSE),"")</f>
        <v/>
      </c>
      <c r="C3" s="7" t="n"/>
      <c r="D3" s="7" t="n"/>
      <c r="E3" s="7" t="n"/>
      <c r="F3" s="7" t="n"/>
      <c r="G3" s="8" t="n"/>
      <c r="H3" s="7" t="n"/>
      <c r="I3" s="8" t="n"/>
      <c r="J3" s="7" t="n"/>
      <c r="K3" s="7" t="n"/>
    </row>
    <row r="4" ht="22" customHeight="1">
      <c r="A4" s="7" t="n"/>
      <c r="B4" s="11">
        <f>IFERROR(VLOOKUP(A4,'1·Proje Girişi'!$A:$B,2,FALSE),"")</f>
        <v/>
      </c>
      <c r="C4" s="7" t="n"/>
      <c r="D4" s="7" t="n"/>
      <c r="E4" s="7" t="n"/>
      <c r="F4" s="7" t="n"/>
      <c r="G4" s="8" t="n"/>
      <c r="H4" s="7" t="n"/>
      <c r="I4" s="8" t="n"/>
      <c r="J4" s="7" t="n"/>
      <c r="K4" s="7" t="n"/>
    </row>
    <row r="5" ht="22" customHeight="1">
      <c r="A5" s="7" t="n"/>
      <c r="B5" s="11">
        <f>IFERROR(VLOOKUP(A5,'1·Proje Girişi'!$A:$B,2,FALSE),"")</f>
        <v/>
      </c>
      <c r="C5" s="7" t="n"/>
      <c r="D5" s="7" t="n"/>
      <c r="E5" s="7" t="n"/>
      <c r="F5" s="7" t="n"/>
      <c r="G5" s="8" t="n"/>
      <c r="H5" s="7" t="n"/>
      <c r="I5" s="8" t="n"/>
      <c r="J5" s="7" t="n"/>
      <c r="K5" s="7" t="n"/>
    </row>
    <row r="6" ht="22" customHeight="1">
      <c r="A6" s="7" t="n"/>
      <c r="B6" s="11">
        <f>IFERROR(VLOOKUP(A6,'1·Proje Girişi'!$A:$B,2,FALSE),"")</f>
        <v/>
      </c>
      <c r="C6" s="7" t="n"/>
      <c r="D6" s="7" t="n"/>
      <c r="E6" s="7" t="n"/>
      <c r="F6" s="7" t="n"/>
      <c r="G6" s="8" t="n"/>
      <c r="H6" s="7" t="n"/>
      <c r="I6" s="8" t="n"/>
      <c r="J6" s="7" t="n"/>
      <c r="K6" s="7" t="n"/>
    </row>
    <row r="7" ht="22" customHeight="1">
      <c r="A7" s="7" t="n"/>
      <c r="B7" s="11">
        <f>IFERROR(VLOOKUP(A7,'1·Proje Girişi'!$A:$B,2,FALSE),"")</f>
        <v/>
      </c>
      <c r="C7" s="7" t="n"/>
      <c r="D7" s="7" t="n"/>
      <c r="E7" s="7" t="n"/>
      <c r="F7" s="7" t="n"/>
      <c r="G7" s="8" t="n"/>
      <c r="H7" s="7" t="n"/>
      <c r="I7" s="8" t="n"/>
      <c r="J7" s="7" t="n"/>
      <c r="K7" s="7" t="n"/>
    </row>
    <row r="8" ht="22" customHeight="1">
      <c r="A8" s="7" t="n"/>
      <c r="B8" s="11">
        <f>IFERROR(VLOOKUP(A8,'1·Proje Girişi'!$A:$B,2,FALSE),"")</f>
        <v/>
      </c>
      <c r="C8" s="7" t="n"/>
      <c r="D8" s="7" t="n"/>
      <c r="E8" s="7" t="n"/>
      <c r="F8" s="7" t="n"/>
      <c r="G8" s="8" t="n"/>
      <c r="H8" s="7" t="n"/>
      <c r="I8" s="8" t="n"/>
      <c r="J8" s="7" t="n"/>
      <c r="K8" s="7" t="n"/>
    </row>
    <row r="9" ht="22" customHeight="1">
      <c r="A9" s="7" t="n"/>
      <c r="B9" s="11">
        <f>IFERROR(VLOOKUP(A9,'1·Proje Girişi'!$A:$B,2,FALSE),"")</f>
        <v/>
      </c>
      <c r="C9" s="7" t="n"/>
      <c r="D9" s="7" t="n"/>
      <c r="E9" s="7" t="n"/>
      <c r="F9" s="7" t="n"/>
      <c r="G9" s="8" t="n"/>
      <c r="H9" s="7" t="n"/>
      <c r="I9" s="8" t="n"/>
      <c r="J9" s="7" t="n"/>
      <c r="K9" s="7" t="n"/>
    </row>
    <row r="10" ht="22" customHeight="1">
      <c r="A10" s="7" t="n"/>
      <c r="B10" s="11">
        <f>IFERROR(VLOOKUP(A10,'1·Proje Girişi'!$A:$B,2,FALSE),"")</f>
        <v/>
      </c>
      <c r="C10" s="7" t="n"/>
      <c r="D10" s="7" t="n"/>
      <c r="E10" s="7" t="n"/>
      <c r="F10" s="7" t="n"/>
      <c r="G10" s="8" t="n"/>
      <c r="H10" s="7" t="n"/>
      <c r="I10" s="8" t="n"/>
      <c r="J10" s="7" t="n"/>
      <c r="K10" s="7" t="n"/>
    </row>
    <row r="11" ht="22" customHeight="1">
      <c r="A11" s="7" t="n"/>
      <c r="B11" s="11">
        <f>IFERROR(VLOOKUP(A11,'1·Proje Girişi'!$A:$B,2,FALSE),"")</f>
        <v/>
      </c>
      <c r="C11" s="7" t="n"/>
      <c r="D11" s="7" t="n"/>
      <c r="E11" s="7" t="n"/>
      <c r="F11" s="7" t="n"/>
      <c r="G11" s="8" t="n"/>
      <c r="H11" s="7" t="n"/>
      <c r="I11" s="8" t="n"/>
      <c r="J11" s="7" t="n"/>
      <c r="K11" s="7" t="n"/>
    </row>
    <row r="12" ht="22" customHeight="1">
      <c r="A12" s="7" t="n"/>
      <c r="B12" s="11">
        <f>IFERROR(VLOOKUP(A12,'1·Proje Girişi'!$A:$B,2,FALSE),"")</f>
        <v/>
      </c>
      <c r="C12" s="7" t="n"/>
      <c r="D12" s="7" t="n"/>
      <c r="E12" s="7" t="n"/>
      <c r="F12" s="7" t="n"/>
      <c r="G12" s="8" t="n"/>
      <c r="H12" s="7" t="n"/>
      <c r="I12" s="8" t="n"/>
      <c r="J12" s="7" t="n"/>
      <c r="K12" s="7" t="n"/>
    </row>
    <row r="13" ht="22" customHeight="1">
      <c r="A13" s="7" t="n"/>
      <c r="B13" s="11">
        <f>IFERROR(VLOOKUP(A13,'1·Proje Girişi'!$A:$B,2,FALSE),"")</f>
        <v/>
      </c>
      <c r="C13" s="7" t="n"/>
      <c r="D13" s="7" t="n"/>
      <c r="E13" s="7" t="n"/>
      <c r="F13" s="7" t="n"/>
      <c r="G13" s="8" t="n"/>
      <c r="H13" s="7" t="n"/>
      <c r="I13" s="8" t="n"/>
      <c r="J13" s="7" t="n"/>
      <c r="K13" s="7" t="n"/>
    </row>
    <row r="14" ht="22" customHeight="1">
      <c r="A14" s="7" t="n"/>
      <c r="B14" s="11">
        <f>IFERROR(VLOOKUP(A14,'1·Proje Girişi'!$A:$B,2,FALSE),"")</f>
        <v/>
      </c>
      <c r="C14" s="7" t="n"/>
      <c r="D14" s="7" t="n"/>
      <c r="E14" s="7" t="n"/>
      <c r="F14" s="7" t="n"/>
      <c r="G14" s="8" t="n"/>
      <c r="H14" s="7" t="n"/>
      <c r="I14" s="8" t="n"/>
      <c r="J14" s="7" t="n"/>
      <c r="K14" s="7" t="n"/>
    </row>
    <row r="15" ht="22" customHeight="1">
      <c r="A15" s="7" t="n"/>
      <c r="B15" s="11">
        <f>IFERROR(VLOOKUP(A15,'1·Proje Girişi'!$A:$B,2,FALSE),"")</f>
        <v/>
      </c>
      <c r="C15" s="7" t="n"/>
      <c r="D15" s="7" t="n"/>
      <c r="E15" s="7" t="n"/>
      <c r="F15" s="7" t="n"/>
      <c r="G15" s="8" t="n"/>
      <c r="H15" s="7" t="n"/>
      <c r="I15" s="8" t="n"/>
      <c r="J15" s="7" t="n"/>
      <c r="K15" s="7" t="n"/>
    </row>
    <row r="16" ht="22" customHeight="1">
      <c r="A16" s="7" t="n"/>
      <c r="B16" s="11">
        <f>IFERROR(VLOOKUP(A16,'1·Proje Girişi'!$A:$B,2,FALSE),"")</f>
        <v/>
      </c>
      <c r="C16" s="7" t="n"/>
      <c r="D16" s="7" t="n"/>
      <c r="E16" s="7" t="n"/>
      <c r="F16" s="7" t="n"/>
      <c r="G16" s="8" t="n"/>
      <c r="H16" s="7" t="n"/>
      <c r="I16" s="8" t="n"/>
      <c r="J16" s="7" t="n"/>
      <c r="K16" s="7" t="n"/>
    </row>
    <row r="17" ht="22" customHeight="1">
      <c r="A17" s="7" t="n"/>
      <c r="B17" s="11">
        <f>IFERROR(VLOOKUP(A17,'1·Proje Girişi'!$A:$B,2,FALSE),"")</f>
        <v/>
      </c>
      <c r="C17" s="7" t="n"/>
      <c r="D17" s="7" t="n"/>
      <c r="E17" s="7" t="n"/>
      <c r="F17" s="7" t="n"/>
      <c r="G17" s="8" t="n"/>
      <c r="H17" s="7" t="n"/>
      <c r="I17" s="8" t="n"/>
      <c r="J17" s="7" t="n"/>
      <c r="K17" s="7" t="n"/>
    </row>
    <row r="18" ht="22" customHeight="1">
      <c r="A18" s="7" t="n"/>
      <c r="B18" s="11">
        <f>IFERROR(VLOOKUP(A18,'1·Proje Girişi'!$A:$B,2,FALSE),"")</f>
        <v/>
      </c>
      <c r="C18" s="7" t="n"/>
      <c r="D18" s="7" t="n"/>
      <c r="E18" s="7" t="n"/>
      <c r="F18" s="7" t="n"/>
      <c r="G18" s="8" t="n"/>
      <c r="H18" s="7" t="n"/>
      <c r="I18" s="8" t="n"/>
      <c r="J18" s="7" t="n"/>
      <c r="K18" s="7" t="n"/>
    </row>
    <row r="19" ht="22" customHeight="1">
      <c r="A19" s="7" t="n"/>
      <c r="B19" s="11">
        <f>IFERROR(VLOOKUP(A19,'1·Proje Girişi'!$A:$B,2,FALSE),"")</f>
        <v/>
      </c>
      <c r="C19" s="7" t="n"/>
      <c r="D19" s="7" t="n"/>
      <c r="E19" s="7" t="n"/>
      <c r="F19" s="7" t="n"/>
      <c r="G19" s="8" t="n"/>
      <c r="H19" s="7" t="n"/>
      <c r="I19" s="8" t="n"/>
      <c r="J19" s="7" t="n"/>
      <c r="K19" s="7" t="n"/>
    </row>
    <row r="20" ht="22" customHeight="1">
      <c r="A20" s="7" t="n"/>
      <c r="B20" s="11">
        <f>IFERROR(VLOOKUP(A20,'1·Proje Girişi'!$A:$B,2,FALSE),"")</f>
        <v/>
      </c>
      <c r="C20" s="7" t="n"/>
      <c r="D20" s="7" t="n"/>
      <c r="E20" s="7" t="n"/>
      <c r="F20" s="7" t="n"/>
      <c r="G20" s="8" t="n"/>
      <c r="H20" s="7" t="n"/>
      <c r="I20" s="8" t="n"/>
      <c r="J20" s="7" t="n"/>
      <c r="K20" s="7" t="n"/>
    </row>
    <row r="21" ht="22" customHeight="1">
      <c r="A21" s="7" t="n"/>
      <c r="B21" s="11">
        <f>IFERROR(VLOOKUP(A21,'1·Proje Girişi'!$A:$B,2,FALSE),"")</f>
        <v/>
      </c>
      <c r="C21" s="7" t="n"/>
      <c r="D21" s="7" t="n"/>
      <c r="E21" s="7" t="n"/>
      <c r="F21" s="7" t="n"/>
      <c r="G21" s="8" t="n"/>
      <c r="H21" s="7" t="n"/>
      <c r="I21" s="8" t="n"/>
      <c r="J21" s="7" t="n"/>
      <c r="K21" s="7" t="n"/>
    </row>
    <row r="22" ht="22" customHeight="1">
      <c r="A22" s="7" t="n"/>
      <c r="B22" s="11">
        <f>IFERROR(VLOOKUP(A22,'1·Proje Girişi'!$A:$B,2,FALSE),"")</f>
        <v/>
      </c>
      <c r="C22" s="7" t="n"/>
      <c r="D22" s="7" t="n"/>
      <c r="E22" s="7" t="n"/>
      <c r="F22" s="7" t="n"/>
      <c r="G22" s="8" t="n"/>
      <c r="H22" s="7" t="n"/>
      <c r="I22" s="8" t="n"/>
      <c r="J22" s="7" t="n"/>
      <c r="K22" s="7" t="n"/>
    </row>
    <row r="23" ht="22" customHeight="1">
      <c r="A23" s="7" t="n"/>
      <c r="B23" s="11">
        <f>IFERROR(VLOOKUP(A23,'1·Proje Girişi'!$A:$B,2,FALSE),"")</f>
        <v/>
      </c>
      <c r="C23" s="7" t="n"/>
      <c r="D23" s="7" t="n"/>
      <c r="E23" s="7" t="n"/>
      <c r="F23" s="7" t="n"/>
      <c r="G23" s="8" t="n"/>
      <c r="H23" s="7" t="n"/>
      <c r="I23" s="8" t="n"/>
      <c r="J23" s="7" t="n"/>
      <c r="K23" s="7" t="n"/>
    </row>
    <row r="24" ht="22" customHeight="1">
      <c r="A24" s="7" t="n"/>
      <c r="B24" s="11">
        <f>IFERROR(VLOOKUP(A24,'1·Proje Girişi'!$A:$B,2,FALSE),"")</f>
        <v/>
      </c>
      <c r="C24" s="7" t="n"/>
      <c r="D24" s="7" t="n"/>
      <c r="E24" s="7" t="n"/>
      <c r="F24" s="7" t="n"/>
      <c r="G24" s="8" t="n"/>
      <c r="H24" s="7" t="n"/>
      <c r="I24" s="8" t="n"/>
      <c r="J24" s="7" t="n"/>
      <c r="K24" s="7" t="n"/>
    </row>
    <row r="25" ht="22" customHeight="1">
      <c r="A25" s="7" t="n"/>
      <c r="B25" s="11">
        <f>IFERROR(VLOOKUP(A25,'1·Proje Girişi'!$A:$B,2,FALSE),"")</f>
        <v/>
      </c>
      <c r="C25" s="7" t="n"/>
      <c r="D25" s="7" t="n"/>
      <c r="E25" s="7" t="n"/>
      <c r="F25" s="7" t="n"/>
      <c r="G25" s="8" t="n"/>
      <c r="H25" s="7" t="n"/>
      <c r="I25" s="8" t="n"/>
      <c r="J25" s="7" t="n"/>
      <c r="K25" s="7" t="n"/>
    </row>
    <row r="26" ht="22" customHeight="1">
      <c r="A26" s="7" t="n"/>
      <c r="B26" s="11">
        <f>IFERROR(VLOOKUP(A26,'1·Proje Girişi'!$A:$B,2,FALSE),"")</f>
        <v/>
      </c>
      <c r="C26" s="7" t="n"/>
      <c r="D26" s="7" t="n"/>
      <c r="E26" s="7" t="n"/>
      <c r="F26" s="7" t="n"/>
      <c r="G26" s="8" t="n"/>
      <c r="H26" s="7" t="n"/>
      <c r="I26" s="8" t="n"/>
      <c r="J26" s="7" t="n"/>
      <c r="K26" s="7" t="n"/>
    </row>
    <row r="27" ht="22" customHeight="1">
      <c r="A27" s="7" t="n"/>
      <c r="B27" s="11">
        <f>IFERROR(VLOOKUP(A27,'1·Proje Girişi'!$A:$B,2,FALSE),"")</f>
        <v/>
      </c>
      <c r="C27" s="7" t="n"/>
      <c r="D27" s="7" t="n"/>
      <c r="E27" s="7" t="n"/>
      <c r="F27" s="7" t="n"/>
      <c r="G27" s="8" t="n"/>
      <c r="H27" s="7" t="n"/>
      <c r="I27" s="8" t="n"/>
      <c r="J27" s="7" t="n"/>
      <c r="K27" s="7" t="n"/>
    </row>
    <row r="28" ht="22" customHeight="1">
      <c r="A28" s="7" t="n"/>
      <c r="B28" s="11">
        <f>IFERROR(VLOOKUP(A28,'1·Proje Girişi'!$A:$B,2,FALSE),"")</f>
        <v/>
      </c>
      <c r="C28" s="7" t="n"/>
      <c r="D28" s="7" t="n"/>
      <c r="E28" s="7" t="n"/>
      <c r="F28" s="7" t="n"/>
      <c r="G28" s="8" t="n"/>
      <c r="H28" s="7" t="n"/>
      <c r="I28" s="8" t="n"/>
      <c r="J28" s="7" t="n"/>
      <c r="K28" s="7" t="n"/>
    </row>
    <row r="29" ht="22" customHeight="1">
      <c r="A29" s="7" t="n"/>
      <c r="B29" s="11">
        <f>IFERROR(VLOOKUP(A29,'1·Proje Girişi'!$A:$B,2,FALSE),"")</f>
        <v/>
      </c>
      <c r="C29" s="7" t="n"/>
      <c r="D29" s="7" t="n"/>
      <c r="E29" s="7" t="n"/>
      <c r="F29" s="7" t="n"/>
      <c r="G29" s="8" t="n"/>
      <c r="H29" s="7" t="n"/>
      <c r="I29" s="8" t="n"/>
      <c r="J29" s="7" t="n"/>
      <c r="K29" s="7" t="n"/>
    </row>
    <row r="30" ht="22" customHeight="1">
      <c r="A30" s="7" t="n"/>
      <c r="B30" s="11">
        <f>IFERROR(VLOOKUP(A30,'1·Proje Girişi'!$A:$B,2,FALSE),"")</f>
        <v/>
      </c>
      <c r="C30" s="7" t="n"/>
      <c r="D30" s="7" t="n"/>
      <c r="E30" s="7" t="n"/>
      <c r="F30" s="7" t="n"/>
      <c r="G30" s="8" t="n"/>
      <c r="H30" s="7" t="n"/>
      <c r="I30" s="8" t="n"/>
      <c r="J30" s="7" t="n"/>
      <c r="K30" s="7" t="n"/>
    </row>
    <row r="31" ht="22" customHeight="1">
      <c r="A31" s="7" t="n"/>
      <c r="B31" s="11">
        <f>IFERROR(VLOOKUP(A31,'1·Proje Girişi'!$A:$B,2,FALSE),"")</f>
        <v/>
      </c>
      <c r="C31" s="7" t="n"/>
      <c r="D31" s="7" t="n"/>
      <c r="E31" s="7" t="n"/>
      <c r="F31" s="7" t="n"/>
      <c r="G31" s="8" t="n"/>
      <c r="H31" s="7" t="n"/>
      <c r="I31" s="8" t="n"/>
      <c r="J31" s="7" t="n"/>
      <c r="K31" s="7" t="n"/>
    </row>
    <row r="32" ht="22" customHeight="1">
      <c r="A32" s="7" t="n"/>
      <c r="B32" s="11">
        <f>IFERROR(VLOOKUP(A32,'1·Proje Girişi'!$A:$B,2,FALSE),"")</f>
        <v/>
      </c>
      <c r="C32" s="7" t="n"/>
      <c r="D32" s="7" t="n"/>
      <c r="E32" s="7" t="n"/>
      <c r="F32" s="7" t="n"/>
      <c r="G32" s="8" t="n"/>
      <c r="H32" s="7" t="n"/>
      <c r="I32" s="8" t="n"/>
      <c r="J32" s="7" t="n"/>
      <c r="K32" s="7" t="n"/>
    </row>
    <row r="33" ht="22" customHeight="1">
      <c r="A33" s="7" t="n"/>
      <c r="B33" s="11">
        <f>IFERROR(VLOOKUP(A33,'1·Proje Girişi'!$A:$B,2,FALSE),"")</f>
        <v/>
      </c>
      <c r="C33" s="7" t="n"/>
      <c r="D33" s="7" t="n"/>
      <c r="E33" s="7" t="n"/>
      <c r="F33" s="7" t="n"/>
      <c r="G33" s="8" t="n"/>
      <c r="H33" s="7" t="n"/>
      <c r="I33" s="8" t="n"/>
      <c r="J33" s="7" t="n"/>
      <c r="K33" s="7" t="n"/>
    </row>
    <row r="34" ht="22" customHeight="1">
      <c r="A34" s="7" t="n"/>
      <c r="B34" s="11">
        <f>IFERROR(VLOOKUP(A34,'1·Proje Girişi'!$A:$B,2,FALSE),"")</f>
        <v/>
      </c>
      <c r="C34" s="7" t="n"/>
      <c r="D34" s="7" t="n"/>
      <c r="E34" s="7" t="n"/>
      <c r="F34" s="7" t="n"/>
      <c r="G34" s="8" t="n"/>
      <c r="H34" s="7" t="n"/>
      <c r="I34" s="8" t="n"/>
      <c r="J34" s="7" t="n"/>
      <c r="K34" s="7" t="n"/>
    </row>
    <row r="35" ht="22" customHeight="1">
      <c r="A35" s="7" t="n"/>
      <c r="B35" s="11">
        <f>IFERROR(VLOOKUP(A35,'1·Proje Girişi'!$A:$B,2,FALSE),"")</f>
        <v/>
      </c>
      <c r="C35" s="7" t="n"/>
      <c r="D35" s="7" t="n"/>
      <c r="E35" s="7" t="n"/>
      <c r="F35" s="7" t="n"/>
      <c r="G35" s="8" t="n"/>
      <c r="H35" s="7" t="n"/>
      <c r="I35" s="8" t="n"/>
      <c r="J35" s="7" t="n"/>
      <c r="K35" s="7" t="n"/>
    </row>
    <row r="36" ht="22" customHeight="1">
      <c r="A36" s="7" t="n"/>
      <c r="B36" s="11">
        <f>IFERROR(VLOOKUP(A36,'1·Proje Girişi'!$A:$B,2,FALSE),"")</f>
        <v/>
      </c>
      <c r="C36" s="7" t="n"/>
      <c r="D36" s="7" t="n"/>
      <c r="E36" s="7" t="n"/>
      <c r="F36" s="7" t="n"/>
      <c r="G36" s="8" t="n"/>
      <c r="H36" s="7" t="n"/>
      <c r="I36" s="8" t="n"/>
      <c r="J36" s="7" t="n"/>
      <c r="K36" s="7" t="n"/>
    </row>
    <row r="37" ht="22" customHeight="1">
      <c r="A37" s="7" t="n"/>
      <c r="B37" s="11">
        <f>IFERROR(VLOOKUP(A37,'1·Proje Girişi'!$A:$B,2,FALSE),"")</f>
        <v/>
      </c>
      <c r="C37" s="7" t="n"/>
      <c r="D37" s="7" t="n"/>
      <c r="E37" s="7" t="n"/>
      <c r="F37" s="7" t="n"/>
      <c r="G37" s="8" t="n"/>
      <c r="H37" s="7" t="n"/>
      <c r="I37" s="8" t="n"/>
      <c r="J37" s="7" t="n"/>
      <c r="K37" s="7" t="n"/>
    </row>
    <row r="38" ht="22" customHeight="1">
      <c r="A38" s="7" t="n"/>
      <c r="B38" s="11">
        <f>IFERROR(VLOOKUP(A38,'1·Proje Girişi'!$A:$B,2,FALSE),"")</f>
        <v/>
      </c>
      <c r="C38" s="7" t="n"/>
      <c r="D38" s="7" t="n"/>
      <c r="E38" s="7" t="n"/>
      <c r="F38" s="7" t="n"/>
      <c r="G38" s="8" t="n"/>
      <c r="H38" s="7" t="n"/>
      <c r="I38" s="8" t="n"/>
      <c r="J38" s="7" t="n"/>
      <c r="K38" s="7" t="n"/>
    </row>
    <row r="39" ht="22" customHeight="1">
      <c r="A39" s="7" t="n"/>
      <c r="B39" s="11">
        <f>IFERROR(VLOOKUP(A39,'1·Proje Girişi'!$A:$B,2,FALSE),"")</f>
        <v/>
      </c>
      <c r="C39" s="7" t="n"/>
      <c r="D39" s="7" t="n"/>
      <c r="E39" s="7" t="n"/>
      <c r="F39" s="7" t="n"/>
      <c r="G39" s="8" t="n"/>
      <c r="H39" s="7" t="n"/>
      <c r="I39" s="8" t="n"/>
      <c r="J39" s="7" t="n"/>
      <c r="K39" s="7" t="n"/>
    </row>
    <row r="40" ht="22" customHeight="1">
      <c r="A40" s="7" t="n"/>
      <c r="B40" s="11">
        <f>IFERROR(VLOOKUP(A40,'1·Proje Girişi'!$A:$B,2,FALSE),"")</f>
        <v/>
      </c>
      <c r="C40" s="7" t="n"/>
      <c r="D40" s="7" t="n"/>
      <c r="E40" s="7" t="n"/>
      <c r="F40" s="7" t="n"/>
      <c r="G40" s="8" t="n"/>
      <c r="H40" s="7" t="n"/>
      <c r="I40" s="8" t="n"/>
      <c r="J40" s="7" t="n"/>
      <c r="K40" s="7" t="n"/>
    </row>
    <row r="41" ht="22" customHeight="1">
      <c r="A41" s="7" t="n"/>
      <c r="B41" s="11">
        <f>IFERROR(VLOOKUP(A41,'1·Proje Girişi'!$A:$B,2,FALSE),"")</f>
        <v/>
      </c>
      <c r="C41" s="7" t="n"/>
      <c r="D41" s="7" t="n"/>
      <c r="E41" s="7" t="n"/>
      <c r="F41" s="7" t="n"/>
      <c r="G41" s="8" t="n"/>
      <c r="H41" s="7" t="n"/>
      <c r="I41" s="8" t="n"/>
      <c r="J41" s="7" t="n"/>
      <c r="K41" s="7" t="n"/>
    </row>
    <row r="42" ht="22" customHeight="1">
      <c r="A42" s="7" t="n"/>
      <c r="B42" s="11">
        <f>IFERROR(VLOOKUP(A42,'1·Proje Girişi'!$A:$B,2,FALSE),"")</f>
        <v/>
      </c>
      <c r="C42" s="7" t="n"/>
      <c r="D42" s="7" t="n"/>
      <c r="E42" s="7" t="n"/>
      <c r="F42" s="7" t="n"/>
      <c r="G42" s="8" t="n"/>
      <c r="H42" s="7" t="n"/>
      <c r="I42" s="8" t="n"/>
      <c r="J42" s="7" t="n"/>
      <c r="K42" s="7" t="n"/>
    </row>
    <row r="43" ht="22" customHeight="1">
      <c r="A43" s="7" t="n"/>
      <c r="B43" s="11">
        <f>IFERROR(VLOOKUP(A43,'1·Proje Girişi'!$A:$B,2,FALSE),"")</f>
        <v/>
      </c>
      <c r="C43" s="7" t="n"/>
      <c r="D43" s="7" t="n"/>
      <c r="E43" s="7" t="n"/>
      <c r="F43" s="7" t="n"/>
      <c r="G43" s="8" t="n"/>
      <c r="H43" s="7" t="n"/>
      <c r="I43" s="8" t="n"/>
      <c r="J43" s="7" t="n"/>
      <c r="K43" s="7" t="n"/>
    </row>
    <row r="44" ht="22" customHeight="1">
      <c r="A44" s="7" t="n"/>
      <c r="B44" s="11">
        <f>IFERROR(VLOOKUP(A44,'1·Proje Girişi'!$A:$B,2,FALSE),"")</f>
        <v/>
      </c>
      <c r="C44" s="7" t="n"/>
      <c r="D44" s="7" t="n"/>
      <c r="E44" s="7" t="n"/>
      <c r="F44" s="7" t="n"/>
      <c r="G44" s="8" t="n"/>
      <c r="H44" s="7" t="n"/>
      <c r="I44" s="8" t="n"/>
      <c r="J44" s="7" t="n"/>
      <c r="K44" s="7" t="n"/>
    </row>
    <row r="45" ht="22" customHeight="1">
      <c r="A45" s="7" t="n"/>
      <c r="B45" s="11">
        <f>IFERROR(VLOOKUP(A45,'1·Proje Girişi'!$A:$B,2,FALSE),"")</f>
        <v/>
      </c>
      <c r="C45" s="7" t="n"/>
      <c r="D45" s="7" t="n"/>
      <c r="E45" s="7" t="n"/>
      <c r="F45" s="7" t="n"/>
      <c r="G45" s="8" t="n"/>
      <c r="H45" s="7" t="n"/>
      <c r="I45" s="8" t="n"/>
      <c r="J45" s="7" t="n"/>
      <c r="K45" s="7" t="n"/>
    </row>
    <row r="46" ht="22" customHeight="1">
      <c r="A46" s="7" t="n"/>
      <c r="B46" s="11">
        <f>IFERROR(VLOOKUP(A46,'1·Proje Girişi'!$A:$B,2,FALSE),"")</f>
        <v/>
      </c>
      <c r="C46" s="7" t="n"/>
      <c r="D46" s="7" t="n"/>
      <c r="E46" s="7" t="n"/>
      <c r="F46" s="7" t="n"/>
      <c r="G46" s="8" t="n"/>
      <c r="H46" s="7" t="n"/>
      <c r="I46" s="8" t="n"/>
      <c r="J46" s="7" t="n"/>
      <c r="K46" s="7" t="n"/>
    </row>
    <row r="47" ht="22" customHeight="1">
      <c r="A47" s="7" t="n"/>
      <c r="B47" s="11">
        <f>IFERROR(VLOOKUP(A47,'1·Proje Girişi'!$A:$B,2,FALSE),"")</f>
        <v/>
      </c>
      <c r="C47" s="7" t="n"/>
      <c r="D47" s="7" t="n"/>
      <c r="E47" s="7" t="n"/>
      <c r="F47" s="7" t="n"/>
      <c r="G47" s="8" t="n"/>
      <c r="H47" s="7" t="n"/>
      <c r="I47" s="8" t="n"/>
      <c r="J47" s="7" t="n"/>
      <c r="K47" s="7" t="n"/>
    </row>
    <row r="48" ht="22" customHeight="1">
      <c r="A48" s="7" t="n"/>
      <c r="B48" s="11">
        <f>IFERROR(VLOOKUP(A48,'1·Proje Girişi'!$A:$B,2,FALSE),"")</f>
        <v/>
      </c>
      <c r="C48" s="7" t="n"/>
      <c r="D48" s="7" t="n"/>
      <c r="E48" s="7" t="n"/>
      <c r="F48" s="7" t="n"/>
      <c r="G48" s="8" t="n"/>
      <c r="H48" s="7" t="n"/>
      <c r="I48" s="8" t="n"/>
      <c r="J48" s="7" t="n"/>
      <c r="K48" s="7" t="n"/>
    </row>
    <row r="49" ht="22" customHeight="1">
      <c r="A49" s="7" t="n"/>
      <c r="B49" s="11">
        <f>IFERROR(VLOOKUP(A49,'1·Proje Girişi'!$A:$B,2,FALSE),"")</f>
        <v/>
      </c>
      <c r="C49" s="7" t="n"/>
      <c r="D49" s="7" t="n"/>
      <c r="E49" s="7" t="n"/>
      <c r="F49" s="7" t="n"/>
      <c r="G49" s="8" t="n"/>
      <c r="H49" s="7" t="n"/>
      <c r="I49" s="8" t="n"/>
      <c r="J49" s="7" t="n"/>
      <c r="K49" s="7" t="n"/>
    </row>
    <row r="50" ht="22" customHeight="1">
      <c r="A50" s="7" t="n"/>
      <c r="B50" s="11">
        <f>IFERROR(VLOOKUP(A50,'1·Proje Girişi'!$A:$B,2,FALSE),"")</f>
        <v/>
      </c>
      <c r="C50" s="7" t="n"/>
      <c r="D50" s="7" t="n"/>
      <c r="E50" s="7" t="n"/>
      <c r="F50" s="7" t="n"/>
      <c r="G50" s="8" t="n"/>
      <c r="H50" s="7" t="n"/>
      <c r="I50" s="8" t="n"/>
      <c r="J50" s="7" t="n"/>
      <c r="K50" s="7" t="n"/>
    </row>
    <row r="51" ht="22" customHeight="1">
      <c r="A51" s="7" t="n"/>
      <c r="B51" s="11">
        <f>IFERROR(VLOOKUP(A51,'1·Proje Girişi'!$A:$B,2,FALSE),"")</f>
        <v/>
      </c>
      <c r="C51" s="7" t="n"/>
      <c r="D51" s="7" t="n"/>
      <c r="E51" s="7" t="n"/>
      <c r="F51" s="7" t="n"/>
      <c r="G51" s="8" t="n"/>
      <c r="H51" s="7" t="n"/>
      <c r="I51" s="8" t="n"/>
      <c r="J51" s="7" t="n"/>
      <c r="K51" s="7" t="n"/>
    </row>
    <row r="52" ht="22" customHeight="1">
      <c r="A52" s="7" t="n"/>
      <c r="B52" s="11">
        <f>IFERROR(VLOOKUP(A52,'1·Proje Girişi'!$A:$B,2,FALSE),"")</f>
        <v/>
      </c>
      <c r="C52" s="7" t="n"/>
      <c r="D52" s="7" t="n"/>
      <c r="E52" s="7" t="n"/>
      <c r="F52" s="7" t="n"/>
      <c r="G52" s="8" t="n"/>
      <c r="H52" s="7" t="n"/>
      <c r="I52" s="8" t="n"/>
      <c r="J52" s="7" t="n"/>
      <c r="K52" s="7" t="n"/>
    </row>
    <row r="53" ht="22" customHeight="1">
      <c r="A53" s="7" t="n"/>
      <c r="B53" s="11">
        <f>IFERROR(VLOOKUP(A53,'1·Proje Girişi'!$A:$B,2,FALSE),"")</f>
        <v/>
      </c>
      <c r="C53" s="7" t="n"/>
      <c r="D53" s="7" t="n"/>
      <c r="E53" s="7" t="n"/>
      <c r="F53" s="7" t="n"/>
      <c r="G53" s="8" t="n"/>
      <c r="H53" s="7" t="n"/>
      <c r="I53" s="8" t="n"/>
      <c r="J53" s="7" t="n"/>
      <c r="K53" s="7" t="n"/>
    </row>
    <row r="54" ht="22" customHeight="1">
      <c r="A54" s="7" t="n"/>
      <c r="B54" s="11">
        <f>IFERROR(VLOOKUP(A54,'1·Proje Girişi'!$A:$B,2,FALSE),"")</f>
        <v/>
      </c>
      <c r="C54" s="7" t="n"/>
      <c r="D54" s="7" t="n"/>
      <c r="E54" s="7" t="n"/>
      <c r="F54" s="7" t="n"/>
      <c r="G54" s="8" t="n"/>
      <c r="H54" s="7" t="n"/>
      <c r="I54" s="8" t="n"/>
      <c r="J54" s="7" t="n"/>
      <c r="K54" s="7" t="n"/>
    </row>
    <row r="55" ht="22" customHeight="1">
      <c r="A55" s="7" t="n"/>
      <c r="B55" s="11">
        <f>IFERROR(VLOOKUP(A55,'1·Proje Girişi'!$A:$B,2,FALSE),"")</f>
        <v/>
      </c>
      <c r="C55" s="7" t="n"/>
      <c r="D55" s="7" t="n"/>
      <c r="E55" s="7" t="n"/>
      <c r="F55" s="7" t="n"/>
      <c r="G55" s="8" t="n"/>
      <c r="H55" s="7" t="n"/>
      <c r="I55" s="8" t="n"/>
      <c r="J55" s="7" t="n"/>
      <c r="K55" s="7" t="n"/>
    </row>
    <row r="56" ht="22" customHeight="1">
      <c r="A56" s="7" t="n"/>
      <c r="B56" s="11">
        <f>IFERROR(VLOOKUP(A56,'1·Proje Girişi'!$A:$B,2,FALSE),"")</f>
        <v/>
      </c>
      <c r="C56" s="7" t="n"/>
      <c r="D56" s="7" t="n"/>
      <c r="E56" s="7" t="n"/>
      <c r="F56" s="7" t="n"/>
      <c r="G56" s="8" t="n"/>
      <c r="H56" s="7" t="n"/>
      <c r="I56" s="8" t="n"/>
      <c r="J56" s="7" t="n"/>
      <c r="K56" s="7" t="n"/>
    </row>
    <row r="57" ht="22" customHeight="1">
      <c r="A57" s="7" t="n"/>
      <c r="B57" s="11">
        <f>IFERROR(VLOOKUP(A57,'1·Proje Girişi'!$A:$B,2,FALSE),"")</f>
        <v/>
      </c>
      <c r="C57" s="7" t="n"/>
      <c r="D57" s="7" t="n"/>
      <c r="E57" s="7" t="n"/>
      <c r="F57" s="7" t="n"/>
      <c r="G57" s="8" t="n"/>
      <c r="H57" s="7" t="n"/>
      <c r="I57" s="8" t="n"/>
      <c r="J57" s="7" t="n"/>
      <c r="K57" s="7" t="n"/>
    </row>
    <row r="58" ht="22" customHeight="1">
      <c r="A58" s="7" t="n"/>
      <c r="B58" s="11">
        <f>IFERROR(VLOOKUP(A58,'1·Proje Girişi'!$A:$B,2,FALSE),"")</f>
        <v/>
      </c>
      <c r="C58" s="7" t="n"/>
      <c r="D58" s="7" t="n"/>
      <c r="E58" s="7" t="n"/>
      <c r="F58" s="7" t="n"/>
      <c r="G58" s="8" t="n"/>
      <c r="H58" s="7" t="n"/>
      <c r="I58" s="8" t="n"/>
      <c r="J58" s="7" t="n"/>
      <c r="K58" s="7" t="n"/>
    </row>
    <row r="59" ht="22" customHeight="1">
      <c r="A59" s="7" t="n"/>
      <c r="B59" s="11">
        <f>IFERROR(VLOOKUP(A59,'1·Proje Girişi'!$A:$B,2,FALSE),"")</f>
        <v/>
      </c>
      <c r="C59" s="7" t="n"/>
      <c r="D59" s="7" t="n"/>
      <c r="E59" s="7" t="n"/>
      <c r="F59" s="7" t="n"/>
      <c r="G59" s="8" t="n"/>
      <c r="H59" s="7" t="n"/>
      <c r="I59" s="8" t="n"/>
      <c r="J59" s="7" t="n"/>
      <c r="K59" s="7" t="n"/>
    </row>
    <row r="60" ht="22" customHeight="1">
      <c r="A60" s="7" t="n"/>
      <c r="B60" s="11">
        <f>IFERROR(VLOOKUP(A60,'1·Proje Girişi'!$A:$B,2,FALSE),"")</f>
        <v/>
      </c>
      <c r="C60" s="7" t="n"/>
      <c r="D60" s="7" t="n"/>
      <c r="E60" s="7" t="n"/>
      <c r="F60" s="7" t="n"/>
      <c r="G60" s="8" t="n"/>
      <c r="H60" s="7" t="n"/>
      <c r="I60" s="8" t="n"/>
      <c r="J60" s="7" t="n"/>
      <c r="K60" s="7" t="n"/>
    </row>
    <row r="61" ht="22" customHeight="1">
      <c r="A61" s="7" t="n"/>
      <c r="B61" s="11">
        <f>IFERROR(VLOOKUP(A61,'1·Proje Girişi'!$A:$B,2,FALSE),"")</f>
        <v/>
      </c>
      <c r="C61" s="7" t="n"/>
      <c r="D61" s="7" t="n"/>
      <c r="E61" s="7" t="n"/>
      <c r="F61" s="7" t="n"/>
      <c r="G61" s="8" t="n"/>
      <c r="H61" s="7" t="n"/>
      <c r="I61" s="8" t="n"/>
      <c r="J61" s="7" t="n"/>
      <c r="K61" s="7" t="n"/>
    </row>
    <row r="62" ht="22" customHeight="1">
      <c r="A62" s="7" t="n"/>
      <c r="B62" s="11">
        <f>IFERROR(VLOOKUP(A62,'1·Proje Girişi'!$A:$B,2,FALSE),"")</f>
        <v/>
      </c>
      <c r="C62" s="7" t="n"/>
      <c r="D62" s="7" t="n"/>
      <c r="E62" s="7" t="n"/>
      <c r="F62" s="7" t="n"/>
      <c r="G62" s="8" t="n"/>
      <c r="H62" s="7" t="n"/>
      <c r="I62" s="8" t="n"/>
      <c r="J62" s="7" t="n"/>
      <c r="K62" s="7" t="n"/>
    </row>
    <row r="63" ht="22" customHeight="1">
      <c r="A63" s="7" t="n"/>
      <c r="B63" s="11">
        <f>IFERROR(VLOOKUP(A63,'1·Proje Girişi'!$A:$B,2,FALSE),"")</f>
        <v/>
      </c>
      <c r="C63" s="7" t="n"/>
      <c r="D63" s="7" t="n"/>
      <c r="E63" s="7" t="n"/>
      <c r="F63" s="7" t="n"/>
      <c r="G63" s="8" t="n"/>
      <c r="H63" s="7" t="n"/>
      <c r="I63" s="8" t="n"/>
      <c r="J63" s="7" t="n"/>
      <c r="K63" s="7" t="n"/>
    </row>
    <row r="64" ht="22" customHeight="1">
      <c r="A64" s="7" t="n"/>
      <c r="B64" s="11">
        <f>IFERROR(VLOOKUP(A64,'1·Proje Girişi'!$A:$B,2,FALSE),"")</f>
        <v/>
      </c>
      <c r="C64" s="7" t="n"/>
      <c r="D64" s="7" t="n"/>
      <c r="E64" s="7" t="n"/>
      <c r="F64" s="7" t="n"/>
      <c r="G64" s="8" t="n"/>
      <c r="H64" s="7" t="n"/>
      <c r="I64" s="8" t="n"/>
      <c r="J64" s="7" t="n"/>
      <c r="K64" s="7" t="n"/>
    </row>
    <row r="65" ht="22" customHeight="1">
      <c r="A65" s="7" t="n"/>
      <c r="B65" s="11">
        <f>IFERROR(VLOOKUP(A65,'1·Proje Girişi'!$A:$B,2,FALSE),"")</f>
        <v/>
      </c>
      <c r="C65" s="7" t="n"/>
      <c r="D65" s="7" t="n"/>
      <c r="E65" s="7" t="n"/>
      <c r="F65" s="7" t="n"/>
      <c r="G65" s="8" t="n"/>
      <c r="H65" s="7" t="n"/>
      <c r="I65" s="8" t="n"/>
      <c r="J65" s="7" t="n"/>
      <c r="K65" s="7" t="n"/>
    </row>
    <row r="66" ht="22" customHeight="1">
      <c r="A66" s="7" t="n"/>
      <c r="B66" s="11">
        <f>IFERROR(VLOOKUP(A66,'1·Proje Girişi'!$A:$B,2,FALSE),"")</f>
        <v/>
      </c>
      <c r="C66" s="7" t="n"/>
      <c r="D66" s="7" t="n"/>
      <c r="E66" s="7" t="n"/>
      <c r="F66" s="7" t="n"/>
      <c r="G66" s="8" t="n"/>
      <c r="H66" s="7" t="n"/>
      <c r="I66" s="8" t="n"/>
      <c r="J66" s="7" t="n"/>
      <c r="K66" s="7" t="n"/>
    </row>
    <row r="67" ht="22" customHeight="1">
      <c r="A67" s="7" t="n"/>
      <c r="B67" s="11">
        <f>IFERROR(VLOOKUP(A67,'1·Proje Girişi'!$A:$B,2,FALSE),"")</f>
        <v/>
      </c>
      <c r="C67" s="7" t="n"/>
      <c r="D67" s="7" t="n"/>
      <c r="E67" s="7" t="n"/>
      <c r="F67" s="7" t="n"/>
      <c r="G67" s="8" t="n"/>
      <c r="H67" s="7" t="n"/>
      <c r="I67" s="8" t="n"/>
      <c r="J67" s="7" t="n"/>
      <c r="K67" s="7" t="n"/>
    </row>
    <row r="68" ht="22" customHeight="1">
      <c r="A68" s="7" t="n"/>
      <c r="B68" s="11">
        <f>IFERROR(VLOOKUP(A68,'1·Proje Girişi'!$A:$B,2,FALSE),"")</f>
        <v/>
      </c>
      <c r="C68" s="7" t="n"/>
      <c r="D68" s="7" t="n"/>
      <c r="E68" s="7" t="n"/>
      <c r="F68" s="7" t="n"/>
      <c r="G68" s="8" t="n"/>
      <c r="H68" s="7" t="n"/>
      <c r="I68" s="8" t="n"/>
      <c r="J68" s="7" t="n"/>
      <c r="K68" s="7" t="n"/>
    </row>
    <row r="69" ht="22" customHeight="1">
      <c r="A69" s="7" t="n"/>
      <c r="B69" s="11">
        <f>IFERROR(VLOOKUP(A69,'1·Proje Girişi'!$A:$B,2,FALSE),"")</f>
        <v/>
      </c>
      <c r="C69" s="7" t="n"/>
      <c r="D69" s="7" t="n"/>
      <c r="E69" s="7" t="n"/>
      <c r="F69" s="7" t="n"/>
      <c r="G69" s="8" t="n"/>
      <c r="H69" s="7" t="n"/>
      <c r="I69" s="8" t="n"/>
      <c r="J69" s="7" t="n"/>
      <c r="K69" s="7" t="n"/>
    </row>
    <row r="70" ht="22" customHeight="1">
      <c r="A70" s="7" t="n"/>
      <c r="B70" s="11">
        <f>IFERROR(VLOOKUP(A70,'1·Proje Girişi'!$A:$B,2,FALSE),"")</f>
        <v/>
      </c>
      <c r="C70" s="7" t="n"/>
      <c r="D70" s="7" t="n"/>
      <c r="E70" s="7" t="n"/>
      <c r="F70" s="7" t="n"/>
      <c r="G70" s="8" t="n"/>
      <c r="H70" s="7" t="n"/>
      <c r="I70" s="8" t="n"/>
      <c r="J70" s="7" t="n"/>
      <c r="K70" s="7" t="n"/>
    </row>
    <row r="71" ht="22" customHeight="1">
      <c r="A71" s="7" t="n"/>
      <c r="B71" s="11">
        <f>IFERROR(VLOOKUP(A71,'1·Proje Girişi'!$A:$B,2,FALSE),"")</f>
        <v/>
      </c>
      <c r="C71" s="7" t="n"/>
      <c r="D71" s="7" t="n"/>
      <c r="E71" s="7" t="n"/>
      <c r="F71" s="7" t="n"/>
      <c r="G71" s="8" t="n"/>
      <c r="H71" s="7" t="n"/>
      <c r="I71" s="8" t="n"/>
      <c r="J71" s="7" t="n"/>
      <c r="K71" s="7" t="n"/>
    </row>
    <row r="72" ht="22" customHeight="1">
      <c r="A72" s="7" t="n"/>
      <c r="B72" s="11">
        <f>IFERROR(VLOOKUP(A72,'1·Proje Girişi'!$A:$B,2,FALSE),"")</f>
        <v/>
      </c>
      <c r="C72" s="7" t="n"/>
      <c r="D72" s="7" t="n"/>
      <c r="E72" s="7" t="n"/>
      <c r="F72" s="7" t="n"/>
      <c r="G72" s="8" t="n"/>
      <c r="H72" s="7" t="n"/>
      <c r="I72" s="8" t="n"/>
      <c r="J72" s="7" t="n"/>
      <c r="K72" s="7" t="n"/>
    </row>
    <row r="73" ht="22" customHeight="1">
      <c r="A73" s="7" t="n"/>
      <c r="B73" s="11">
        <f>IFERROR(VLOOKUP(A73,'1·Proje Girişi'!$A:$B,2,FALSE),"")</f>
        <v/>
      </c>
      <c r="C73" s="7" t="n"/>
      <c r="D73" s="7" t="n"/>
      <c r="E73" s="7" t="n"/>
      <c r="F73" s="7" t="n"/>
      <c r="G73" s="8" t="n"/>
      <c r="H73" s="7" t="n"/>
      <c r="I73" s="8" t="n"/>
      <c r="J73" s="7" t="n"/>
      <c r="K73" s="7" t="n"/>
    </row>
    <row r="74" ht="22" customHeight="1">
      <c r="A74" s="7" t="n"/>
      <c r="B74" s="11">
        <f>IFERROR(VLOOKUP(A74,'1·Proje Girişi'!$A:$B,2,FALSE),"")</f>
        <v/>
      </c>
      <c r="C74" s="7" t="n"/>
      <c r="D74" s="7" t="n"/>
      <c r="E74" s="7" t="n"/>
      <c r="F74" s="7" t="n"/>
      <c r="G74" s="8" t="n"/>
      <c r="H74" s="7" t="n"/>
      <c r="I74" s="8" t="n"/>
      <c r="J74" s="7" t="n"/>
      <c r="K74" s="7" t="n"/>
    </row>
    <row r="75" ht="22" customHeight="1">
      <c r="A75" s="7" t="n"/>
      <c r="B75" s="11">
        <f>IFERROR(VLOOKUP(A75,'1·Proje Girişi'!$A:$B,2,FALSE),"")</f>
        <v/>
      </c>
      <c r="C75" s="7" t="n"/>
      <c r="D75" s="7" t="n"/>
      <c r="E75" s="7" t="n"/>
      <c r="F75" s="7" t="n"/>
      <c r="G75" s="8" t="n"/>
      <c r="H75" s="7" t="n"/>
      <c r="I75" s="8" t="n"/>
      <c r="J75" s="7" t="n"/>
      <c r="K75" s="7" t="n"/>
    </row>
    <row r="76" ht="22" customHeight="1">
      <c r="A76" s="7" t="n"/>
      <c r="B76" s="11">
        <f>IFERROR(VLOOKUP(A76,'1·Proje Girişi'!$A:$B,2,FALSE),"")</f>
        <v/>
      </c>
      <c r="C76" s="7" t="n"/>
      <c r="D76" s="7" t="n"/>
      <c r="E76" s="7" t="n"/>
      <c r="F76" s="7" t="n"/>
      <c r="G76" s="8" t="n"/>
      <c r="H76" s="7" t="n"/>
      <c r="I76" s="8" t="n"/>
      <c r="J76" s="7" t="n"/>
      <c r="K76" s="7" t="n"/>
    </row>
    <row r="77" ht="22" customHeight="1">
      <c r="A77" s="7" t="n"/>
      <c r="B77" s="11">
        <f>IFERROR(VLOOKUP(A77,'1·Proje Girişi'!$A:$B,2,FALSE),"")</f>
        <v/>
      </c>
      <c r="C77" s="7" t="n"/>
      <c r="D77" s="7" t="n"/>
      <c r="E77" s="7" t="n"/>
      <c r="F77" s="7" t="n"/>
      <c r="G77" s="8" t="n"/>
      <c r="H77" s="7" t="n"/>
      <c r="I77" s="8" t="n"/>
      <c r="J77" s="7" t="n"/>
      <c r="K77" s="7" t="n"/>
    </row>
    <row r="78" ht="22" customHeight="1">
      <c r="A78" s="7" t="n"/>
      <c r="B78" s="11">
        <f>IFERROR(VLOOKUP(A78,'1·Proje Girişi'!$A:$B,2,FALSE),"")</f>
        <v/>
      </c>
      <c r="C78" s="7" t="n"/>
      <c r="D78" s="7" t="n"/>
      <c r="E78" s="7" t="n"/>
      <c r="F78" s="7" t="n"/>
      <c r="G78" s="8" t="n"/>
      <c r="H78" s="7" t="n"/>
      <c r="I78" s="8" t="n"/>
      <c r="J78" s="7" t="n"/>
      <c r="K78" s="7" t="n"/>
    </row>
    <row r="79" ht="22" customHeight="1">
      <c r="A79" s="7" t="n"/>
      <c r="B79" s="11">
        <f>IFERROR(VLOOKUP(A79,'1·Proje Girişi'!$A:$B,2,FALSE),"")</f>
        <v/>
      </c>
      <c r="C79" s="7" t="n"/>
      <c r="D79" s="7" t="n"/>
      <c r="E79" s="7" t="n"/>
      <c r="F79" s="7" t="n"/>
      <c r="G79" s="8" t="n"/>
      <c r="H79" s="7" t="n"/>
      <c r="I79" s="8" t="n"/>
      <c r="J79" s="7" t="n"/>
      <c r="K79" s="7" t="n"/>
    </row>
    <row r="80" ht="22" customHeight="1">
      <c r="A80" s="7" t="n"/>
      <c r="B80" s="11">
        <f>IFERROR(VLOOKUP(A80,'1·Proje Girişi'!$A:$B,2,FALSE),"")</f>
        <v/>
      </c>
      <c r="C80" s="7" t="n"/>
      <c r="D80" s="7" t="n"/>
      <c r="E80" s="7" t="n"/>
      <c r="F80" s="7" t="n"/>
      <c r="G80" s="8" t="n"/>
      <c r="H80" s="7" t="n"/>
      <c r="I80" s="8" t="n"/>
      <c r="J80" s="7" t="n"/>
      <c r="K80" s="7" t="n"/>
    </row>
    <row r="81" ht="22" customHeight="1">
      <c r="A81" s="7" t="n"/>
      <c r="B81" s="11">
        <f>IFERROR(VLOOKUP(A81,'1·Proje Girişi'!$A:$B,2,FALSE),"")</f>
        <v/>
      </c>
      <c r="C81" s="7" t="n"/>
      <c r="D81" s="7" t="n"/>
      <c r="E81" s="7" t="n"/>
      <c r="F81" s="7" t="n"/>
      <c r="G81" s="8" t="n"/>
      <c r="H81" s="7" t="n"/>
      <c r="I81" s="8" t="n"/>
      <c r="J81" s="7" t="n"/>
      <c r="K81" s="7" t="n"/>
    </row>
  </sheetData>
  <autoFilter ref="A1:K1"/>
  <conditionalFormatting sqref="A2:K81">
    <cfRule type="expression" priority="1" dxfId="0" stopIfTrue="0">
      <formula>MOD(ROW(),2)=0</formula>
    </cfRule>
  </conditionalFormatting>
  <conditionalFormatting sqref="C2:C81">
    <cfRule type="cellIs" priority="2" operator="equal" dxfId="1" stopIfTrue="1">
      <formula>"Taslak"</formula>
    </cfRule>
    <cfRule type="cellIs" priority="3" operator="equal" dxfId="2" stopIfTrue="1">
      <formula>"Onay Bekliyor"</formula>
    </cfRule>
    <cfRule type="cellIs" priority="4" operator="equal" dxfId="6" stopIfTrue="1">
      <formula>"Onaylandı"</formula>
    </cfRule>
    <cfRule type="cellIs" priority="5" operator="equal" dxfId="7" stopIfTrue="1">
      <formula>"Revizyon İstendi"</formula>
    </cfRule>
  </conditionalFormatting>
  <dataValidations count="2">
    <dataValidation sqref="A2:A81" showDropDown="0" showInputMessage="0" showErrorMessage="0" allowBlank="1" errorTitle="Geçersiz proje" error="Listede olmayan proje kodu." type="list">
      <formula1>='1·Proje Girişi'!$A$2:$A$81</formula1>
    </dataValidation>
    <dataValidation sqref="C2:C81" showDropDown="0" showInputMessage="0" showErrorMessage="0" allowBlank="1" errorTitle="Geçersiz değer" error="Lütfen listeden bir değer seçin." prompt="Açılır listeden seçin" type="list">
      <formula1>"Taslak,Onay Bekliyor,Onaylandı,Revizyon İstendi"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22" customWidth="1" min="4" max="4"/>
    <col width="24" customWidth="1" min="5" max="5"/>
    <col width="8" customWidth="1" min="6" max="6"/>
    <col width="16" customWidth="1" min="7" max="7"/>
    <col width="16" customWidth="1" min="8" max="8"/>
    <col width="16" customWidth="1" min="9" max="9"/>
    <col width="26" customWidth="1" min="10" max="10"/>
    <col width="24" customWidth="1" min="11" max="11"/>
    <col width="13" customWidth="1" min="12" max="12"/>
    <col width="14" customWidth="1" min="13" max="13"/>
  </cols>
  <sheetData>
    <row r="1" ht="30" customHeight="1">
      <c r="A1" s="6" t="inlineStr">
        <is>
          <t>Sıra</t>
        </is>
      </c>
      <c r="B1" s="6" t="inlineStr">
        <is>
          <t>Proje Kodu</t>
        </is>
      </c>
      <c r="C1" s="6" t="inlineStr">
        <is>
          <t>Proje Adı</t>
        </is>
      </c>
      <c r="D1" s="6" t="inlineStr">
        <is>
          <t>Body (Ana Ekipman)</t>
        </is>
      </c>
      <c r="E1" s="6" t="inlineStr">
        <is>
          <t>Alt Parça</t>
        </is>
      </c>
      <c r="F1" s="6" t="inlineStr">
        <is>
          <t>Adet</t>
        </is>
      </c>
      <c r="G1" s="6" t="inlineStr">
        <is>
          <t>Ölçü</t>
        </is>
      </c>
      <c r="H1" s="6" t="inlineStr">
        <is>
          <t>Malzeme Cinsi</t>
        </is>
      </c>
      <c r="I1" s="6" t="inlineStr">
        <is>
          <t>Malzeme Kalitesi</t>
        </is>
      </c>
      <c r="J1" s="6" t="inlineStr">
        <is>
          <t>Amaç</t>
        </is>
      </c>
      <c r="K1" s="6" t="inlineStr">
        <is>
          <t>Not</t>
        </is>
      </c>
      <c r="L1" s="6" t="inlineStr">
        <is>
          <t>Termin</t>
        </is>
      </c>
      <c r="M1" s="6" t="inlineStr">
        <is>
          <t>Üretim Termini</t>
        </is>
      </c>
    </row>
    <row r="2" ht="22" customHeight="1">
      <c r="A2" s="10">
        <f>IF(B2="","",ROW()-1)</f>
        <v/>
      </c>
      <c r="B2" s="7" t="inlineStr">
        <is>
          <t>SYN-2026-001</t>
        </is>
      </c>
      <c r="C2" s="11">
        <f>IFERROR(VLOOKUP(B2,'1·Proje Girişi'!$A:$B,2,FALSE),"")</f>
        <v/>
      </c>
      <c r="D2" s="7" t="inlineStr">
        <is>
          <t>Ekstraksiyon Reaktörü</t>
        </is>
      </c>
      <c r="E2" s="7" t="inlineStr">
        <is>
          <t>Reaktör gövdesi</t>
        </is>
      </c>
      <c r="F2" s="7" t="n">
        <v>1</v>
      </c>
      <c r="G2" s="7" t="inlineStr">
        <is>
          <t>Ø300 x 800 mm</t>
        </is>
      </c>
      <c r="H2" s="7" t="inlineStr">
        <is>
          <t>Paslanmaz</t>
        </is>
      </c>
      <c r="I2" s="7" t="inlineStr">
        <is>
          <t>316L</t>
        </is>
      </c>
      <c r="J2" s="7" t="inlineStr">
        <is>
          <t>50 L yüksek basınç haznesi</t>
        </is>
      </c>
      <c r="K2" s="7" t="n"/>
      <c r="L2" s="8" t="n"/>
      <c r="M2" s="8" t="n"/>
    </row>
    <row r="3" ht="22" customHeight="1">
      <c r="A3" s="10">
        <f>IF(B3="","",ROW()-1)</f>
        <v/>
      </c>
      <c r="B3" s="7" t="n"/>
      <c r="C3" s="11">
        <f>IFERROR(VLOOKUP(B3,'1·Proje Girişi'!$A:$B,2,FALSE),"")</f>
        <v/>
      </c>
      <c r="D3" s="7" t="n"/>
      <c r="E3" s="7" t="n"/>
      <c r="F3" s="7" t="n"/>
      <c r="G3" s="7" t="n"/>
      <c r="H3" s="7" t="n"/>
      <c r="I3" s="7" t="n"/>
      <c r="J3" s="7" t="n"/>
      <c r="K3" s="7" t="n"/>
      <c r="L3" s="8" t="n"/>
      <c r="M3" s="8" t="n"/>
    </row>
    <row r="4" ht="22" customHeight="1">
      <c r="A4" s="10">
        <f>IF(B4="","",ROW()-1)</f>
        <v/>
      </c>
      <c r="B4" s="7" t="n"/>
      <c r="C4" s="11">
        <f>IFERROR(VLOOKUP(B4,'1·Proje Girişi'!$A:$B,2,FALSE),"")</f>
        <v/>
      </c>
      <c r="D4" s="7" t="n"/>
      <c r="E4" s="7" t="n"/>
      <c r="F4" s="7" t="n"/>
      <c r="G4" s="7" t="n"/>
      <c r="H4" s="7" t="n"/>
      <c r="I4" s="7" t="n"/>
      <c r="J4" s="7" t="n"/>
      <c r="K4" s="7" t="n"/>
      <c r="L4" s="8" t="n"/>
      <c r="M4" s="8" t="n"/>
    </row>
    <row r="5" ht="22" customHeight="1">
      <c r="A5" s="10">
        <f>IF(B5="","",ROW()-1)</f>
        <v/>
      </c>
      <c r="B5" s="7" t="n"/>
      <c r="C5" s="11">
        <f>IFERROR(VLOOKUP(B5,'1·Proje Girişi'!$A:$B,2,FALSE),"")</f>
        <v/>
      </c>
      <c r="D5" s="7" t="n"/>
      <c r="E5" s="7" t="n"/>
      <c r="F5" s="7" t="n"/>
      <c r="G5" s="7" t="n"/>
      <c r="H5" s="7" t="n"/>
      <c r="I5" s="7" t="n"/>
      <c r="J5" s="7" t="n"/>
      <c r="K5" s="7" t="n"/>
      <c r="L5" s="8" t="n"/>
      <c r="M5" s="8" t="n"/>
    </row>
    <row r="6" ht="22" customHeight="1">
      <c r="A6" s="10">
        <f>IF(B6="","",ROW()-1)</f>
        <v/>
      </c>
      <c r="B6" s="7" t="n"/>
      <c r="C6" s="11">
        <f>IFERROR(VLOOKUP(B6,'1·Proje Girişi'!$A:$B,2,FALSE),"")</f>
        <v/>
      </c>
      <c r="D6" s="7" t="n"/>
      <c r="E6" s="7" t="n"/>
      <c r="F6" s="7" t="n"/>
      <c r="G6" s="7" t="n"/>
      <c r="H6" s="7" t="n"/>
      <c r="I6" s="7" t="n"/>
      <c r="J6" s="7" t="n"/>
      <c r="K6" s="7" t="n"/>
      <c r="L6" s="8" t="n"/>
      <c r="M6" s="8" t="n"/>
    </row>
    <row r="7" ht="22" customHeight="1">
      <c r="A7" s="10">
        <f>IF(B7="","",ROW()-1)</f>
        <v/>
      </c>
      <c r="B7" s="7" t="n"/>
      <c r="C7" s="11">
        <f>IFERROR(VLOOKUP(B7,'1·Proje Girişi'!$A:$B,2,FALSE),"")</f>
        <v/>
      </c>
      <c r="D7" s="7" t="n"/>
      <c r="E7" s="7" t="n"/>
      <c r="F7" s="7" t="n"/>
      <c r="G7" s="7" t="n"/>
      <c r="H7" s="7" t="n"/>
      <c r="I7" s="7" t="n"/>
      <c r="J7" s="7" t="n"/>
      <c r="K7" s="7" t="n"/>
      <c r="L7" s="8" t="n"/>
      <c r="M7" s="8" t="n"/>
    </row>
    <row r="8" ht="22" customHeight="1">
      <c r="A8" s="10">
        <f>IF(B8="","",ROW()-1)</f>
        <v/>
      </c>
      <c r="B8" s="7" t="n"/>
      <c r="C8" s="11">
        <f>IFERROR(VLOOKUP(B8,'1·Proje Girişi'!$A:$B,2,FALSE),"")</f>
        <v/>
      </c>
      <c r="D8" s="7" t="n"/>
      <c r="E8" s="7" t="n"/>
      <c r="F8" s="7" t="n"/>
      <c r="G8" s="7" t="n"/>
      <c r="H8" s="7" t="n"/>
      <c r="I8" s="7" t="n"/>
      <c r="J8" s="7" t="n"/>
      <c r="K8" s="7" t="n"/>
      <c r="L8" s="8" t="n"/>
      <c r="M8" s="8" t="n"/>
    </row>
    <row r="9" ht="22" customHeight="1">
      <c r="A9" s="10">
        <f>IF(B9="","",ROW()-1)</f>
        <v/>
      </c>
      <c r="B9" s="7" t="n"/>
      <c r="C9" s="11">
        <f>IFERROR(VLOOKUP(B9,'1·Proje Girişi'!$A:$B,2,FALSE),"")</f>
        <v/>
      </c>
      <c r="D9" s="7" t="n"/>
      <c r="E9" s="7" t="n"/>
      <c r="F9" s="7" t="n"/>
      <c r="G9" s="7" t="n"/>
      <c r="H9" s="7" t="n"/>
      <c r="I9" s="7" t="n"/>
      <c r="J9" s="7" t="n"/>
      <c r="K9" s="7" t="n"/>
      <c r="L9" s="8" t="n"/>
      <c r="M9" s="8" t="n"/>
    </row>
    <row r="10" ht="22" customHeight="1">
      <c r="A10" s="10">
        <f>IF(B10="","",ROW()-1)</f>
        <v/>
      </c>
      <c r="B10" s="7" t="n"/>
      <c r="C10" s="11">
        <f>IFERROR(VLOOKUP(B10,'1·Proje Girişi'!$A:$B,2,FALSE),"")</f>
        <v/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  <c r="M10" s="8" t="n"/>
    </row>
    <row r="11" ht="22" customHeight="1">
      <c r="A11" s="10">
        <f>IF(B11="","",ROW()-1)</f>
        <v/>
      </c>
      <c r="B11" s="7" t="n"/>
      <c r="C11" s="11">
        <f>IFERROR(VLOOKUP(B11,'1·Proje Girişi'!$A:$B,2,FALSE),"")</f>
        <v/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  <c r="M11" s="8" t="n"/>
    </row>
    <row r="12" ht="22" customHeight="1">
      <c r="A12" s="10">
        <f>IF(B12="","",ROW()-1)</f>
        <v/>
      </c>
      <c r="B12" s="7" t="n"/>
      <c r="C12" s="11">
        <f>IFERROR(VLOOKUP(B12,'1·Proje Girişi'!$A:$B,2,FALSE),"")</f>
        <v/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8" t="n"/>
      <c r="M12" s="8" t="n"/>
    </row>
    <row r="13" ht="22" customHeight="1">
      <c r="A13" s="10">
        <f>IF(B13="","",ROW()-1)</f>
        <v/>
      </c>
      <c r="B13" s="7" t="n"/>
      <c r="C13" s="11">
        <f>IFERROR(VLOOKUP(B13,'1·Proje Girişi'!$A:$B,2,FALSE),"")</f>
        <v/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  <c r="M13" s="8" t="n"/>
    </row>
    <row r="14" ht="22" customHeight="1">
      <c r="A14" s="10">
        <f>IF(B14="","",ROW()-1)</f>
        <v/>
      </c>
      <c r="B14" s="7" t="n"/>
      <c r="C14" s="11">
        <f>IFERROR(VLOOKUP(B14,'1·Proje Girişi'!$A:$B,2,FALSE),"")</f>
        <v/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  <c r="M14" s="8" t="n"/>
    </row>
    <row r="15" ht="22" customHeight="1">
      <c r="A15" s="10">
        <f>IF(B15="","",ROW()-1)</f>
        <v/>
      </c>
      <c r="B15" s="7" t="n"/>
      <c r="C15" s="11">
        <f>IFERROR(VLOOKUP(B15,'1·Proje Girişi'!$A:$B,2,FALSE),"")</f>
        <v/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  <c r="M15" s="8" t="n"/>
    </row>
    <row r="16" ht="22" customHeight="1">
      <c r="A16" s="10">
        <f>IF(B16="","",ROW()-1)</f>
        <v/>
      </c>
      <c r="B16" s="7" t="n"/>
      <c r="C16" s="11">
        <f>IFERROR(VLOOKUP(B16,'1·Proje Girişi'!$A:$B,2,FALSE),"")</f>
        <v/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  <c r="M16" s="8" t="n"/>
    </row>
    <row r="17" ht="22" customHeight="1">
      <c r="A17" s="10">
        <f>IF(B17="","",ROW()-1)</f>
        <v/>
      </c>
      <c r="B17" s="7" t="n"/>
      <c r="C17" s="11">
        <f>IFERROR(VLOOKUP(B17,'1·Proje Girişi'!$A:$B,2,FALSE),"")</f>
        <v/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  <c r="M17" s="8" t="n"/>
    </row>
    <row r="18" ht="22" customHeight="1">
      <c r="A18" s="10">
        <f>IF(B18="","",ROW()-1)</f>
        <v/>
      </c>
      <c r="B18" s="7" t="n"/>
      <c r="C18" s="11">
        <f>IFERROR(VLOOKUP(B18,'1·Proje Girişi'!$A:$B,2,FALSE),"")</f>
        <v/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8" t="n"/>
      <c r="M18" s="8" t="n"/>
    </row>
    <row r="19" ht="22" customHeight="1">
      <c r="A19" s="10">
        <f>IF(B19="","",ROW()-1)</f>
        <v/>
      </c>
      <c r="B19" s="7" t="n"/>
      <c r="C19" s="11">
        <f>IFERROR(VLOOKUP(B19,'1·Proje Girişi'!$A:$B,2,FALSE),"")</f>
        <v/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  <c r="M19" s="8" t="n"/>
    </row>
    <row r="20" ht="22" customHeight="1">
      <c r="A20" s="10">
        <f>IF(B20="","",ROW()-1)</f>
        <v/>
      </c>
      <c r="B20" s="7" t="n"/>
      <c r="C20" s="11">
        <f>IFERROR(VLOOKUP(B20,'1·Proje Girişi'!$A:$B,2,FALSE),"")</f>
        <v/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  <c r="M20" s="8" t="n"/>
    </row>
    <row r="21" ht="22" customHeight="1">
      <c r="A21" s="10">
        <f>IF(B21="","",ROW()-1)</f>
        <v/>
      </c>
      <c r="B21" s="7" t="n"/>
      <c r="C21" s="11">
        <f>IFERROR(VLOOKUP(B21,'1·Proje Girişi'!$A:$B,2,FALSE),"")</f>
        <v/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  <c r="M21" s="8" t="n"/>
    </row>
    <row r="22" ht="22" customHeight="1">
      <c r="A22" s="10">
        <f>IF(B22="","",ROW()-1)</f>
        <v/>
      </c>
      <c r="B22" s="7" t="n"/>
      <c r="C22" s="11">
        <f>IFERROR(VLOOKUP(B22,'1·Proje Girişi'!$A:$B,2,FALSE),"")</f>
        <v/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8" t="n"/>
      <c r="M22" s="8" t="n"/>
    </row>
    <row r="23" ht="22" customHeight="1">
      <c r="A23" s="10">
        <f>IF(B23="","",ROW()-1)</f>
        <v/>
      </c>
      <c r="B23" s="7" t="n"/>
      <c r="C23" s="11">
        <f>IFERROR(VLOOKUP(B23,'1·Proje Girişi'!$A:$B,2,FALSE),"")</f>
        <v/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  <c r="M23" s="8" t="n"/>
    </row>
    <row r="24" ht="22" customHeight="1">
      <c r="A24" s="10">
        <f>IF(B24="","",ROW()-1)</f>
        <v/>
      </c>
      <c r="B24" s="7" t="n"/>
      <c r="C24" s="11">
        <f>IFERROR(VLOOKUP(B24,'1·Proje Girişi'!$A:$B,2,FALSE),"")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  <c r="M24" s="8" t="n"/>
    </row>
    <row r="25" ht="22" customHeight="1">
      <c r="A25" s="10">
        <f>IF(B25="","",ROW()-1)</f>
        <v/>
      </c>
      <c r="B25" s="7" t="n"/>
      <c r="C25" s="11">
        <f>IFERROR(VLOOKUP(B25,'1·Proje Girişi'!$A:$B,2,FALSE),"")</f>
        <v/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  <c r="M25" s="8" t="n"/>
    </row>
    <row r="26" ht="22" customHeight="1">
      <c r="A26" s="10">
        <f>IF(B26="","",ROW()-1)</f>
        <v/>
      </c>
      <c r="B26" s="7" t="n"/>
      <c r="C26" s="11">
        <f>IFERROR(VLOOKUP(B26,'1·Proje Girişi'!$A:$B,2,FALSE),"")</f>
        <v/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8" t="n"/>
      <c r="M26" s="8" t="n"/>
    </row>
    <row r="27" ht="22" customHeight="1">
      <c r="A27" s="10">
        <f>IF(B27="","",ROW()-1)</f>
        <v/>
      </c>
      <c r="B27" s="7" t="n"/>
      <c r="C27" s="11">
        <f>IFERROR(VLOOKUP(B27,'1·Proje Girişi'!$A:$B,2,FALSE),"")</f>
        <v/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  <c r="M27" s="8" t="n"/>
    </row>
    <row r="28" ht="22" customHeight="1">
      <c r="A28" s="10">
        <f>IF(B28="","",ROW()-1)</f>
        <v/>
      </c>
      <c r="B28" s="7" t="n"/>
      <c r="C28" s="11">
        <f>IFERROR(VLOOKUP(B28,'1·Proje Girişi'!$A:$B,2,FALSE),"")</f>
        <v/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8" t="n"/>
      <c r="M28" s="8" t="n"/>
    </row>
    <row r="29" ht="22" customHeight="1">
      <c r="A29" s="10">
        <f>IF(B29="","",ROW()-1)</f>
        <v/>
      </c>
      <c r="B29" s="7" t="n"/>
      <c r="C29" s="11">
        <f>IFERROR(VLOOKUP(B29,'1·Proje Girişi'!$A:$B,2,FALSE),"")</f>
        <v/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  <c r="M29" s="8" t="n"/>
    </row>
    <row r="30" ht="22" customHeight="1">
      <c r="A30" s="10">
        <f>IF(B30="","",ROW()-1)</f>
        <v/>
      </c>
      <c r="B30" s="7" t="n"/>
      <c r="C30" s="11">
        <f>IFERROR(VLOOKUP(B30,'1·Proje Girişi'!$A:$B,2,FALSE),"")</f>
        <v/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8" t="n"/>
      <c r="M30" s="8" t="n"/>
    </row>
    <row r="31" ht="22" customHeight="1">
      <c r="A31" s="10">
        <f>IF(B31="","",ROW()-1)</f>
        <v/>
      </c>
      <c r="B31" s="7" t="n"/>
      <c r="C31" s="11">
        <f>IFERROR(VLOOKUP(B31,'1·Proje Girişi'!$A:$B,2,FALSE),"")</f>
        <v/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  <c r="M31" s="8" t="n"/>
    </row>
    <row r="32" ht="22" customHeight="1">
      <c r="A32" s="10">
        <f>IF(B32="","",ROW()-1)</f>
        <v/>
      </c>
      <c r="B32" s="7" t="n"/>
      <c r="C32" s="11">
        <f>IFERROR(VLOOKUP(B32,'1·Proje Girişi'!$A:$B,2,FALSE),"")</f>
        <v/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8" t="n"/>
      <c r="M32" s="8" t="n"/>
    </row>
    <row r="33" ht="22" customHeight="1">
      <c r="A33" s="10">
        <f>IF(B33="","",ROW()-1)</f>
        <v/>
      </c>
      <c r="B33" s="7" t="n"/>
      <c r="C33" s="11">
        <f>IFERROR(VLOOKUP(B33,'1·Proje Girişi'!$A:$B,2,FALSE),"")</f>
        <v/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  <c r="M33" s="8" t="n"/>
    </row>
    <row r="34" ht="22" customHeight="1">
      <c r="A34" s="10">
        <f>IF(B34="","",ROW()-1)</f>
        <v/>
      </c>
      <c r="B34" s="7" t="n"/>
      <c r="C34" s="11">
        <f>IFERROR(VLOOKUP(B34,'1·Proje Girişi'!$A:$B,2,FALSE),"")</f>
        <v/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8" t="n"/>
      <c r="M34" s="8" t="n"/>
    </row>
    <row r="35" ht="22" customHeight="1">
      <c r="A35" s="10">
        <f>IF(B35="","",ROW()-1)</f>
        <v/>
      </c>
      <c r="B35" s="7" t="n"/>
      <c r="C35" s="11">
        <f>IFERROR(VLOOKUP(B35,'1·Proje Girişi'!$A:$B,2,FALSE),"")</f>
        <v/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  <c r="M35" s="8" t="n"/>
    </row>
    <row r="36" ht="22" customHeight="1">
      <c r="A36" s="10">
        <f>IF(B36="","",ROW()-1)</f>
        <v/>
      </c>
      <c r="B36" s="7" t="n"/>
      <c r="C36" s="11">
        <f>IFERROR(VLOOKUP(B36,'1·Proje Girişi'!$A:$B,2,FALSE),"")</f>
        <v/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8" t="n"/>
      <c r="M36" s="8" t="n"/>
    </row>
    <row r="37" ht="22" customHeight="1">
      <c r="A37" s="10">
        <f>IF(B37="","",ROW()-1)</f>
        <v/>
      </c>
      <c r="B37" s="7" t="n"/>
      <c r="C37" s="11">
        <f>IFERROR(VLOOKUP(B37,'1·Proje Girişi'!$A:$B,2,FALSE),"")</f>
        <v/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8" t="n"/>
      <c r="M37" s="8" t="n"/>
    </row>
    <row r="38" ht="22" customHeight="1">
      <c r="A38" s="10">
        <f>IF(B38="","",ROW()-1)</f>
        <v/>
      </c>
      <c r="B38" s="7" t="n"/>
      <c r="C38" s="11">
        <f>IFERROR(VLOOKUP(B38,'1·Proje Girişi'!$A:$B,2,FALSE),"")</f>
        <v/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8" t="n"/>
      <c r="M38" s="8" t="n"/>
    </row>
    <row r="39" ht="22" customHeight="1">
      <c r="A39" s="10">
        <f>IF(B39="","",ROW()-1)</f>
        <v/>
      </c>
      <c r="B39" s="7" t="n"/>
      <c r="C39" s="11">
        <f>IFERROR(VLOOKUP(B39,'1·Proje Girişi'!$A:$B,2,FALSE),"")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  <c r="M39" s="8" t="n"/>
    </row>
    <row r="40" ht="22" customHeight="1">
      <c r="A40" s="10">
        <f>IF(B40="","",ROW()-1)</f>
        <v/>
      </c>
      <c r="B40" s="7" t="n"/>
      <c r="C40" s="11">
        <f>IFERROR(VLOOKUP(B40,'1·Proje Girişi'!$A:$B,2,FALSE),"")</f>
        <v/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8" t="n"/>
      <c r="M40" s="8" t="n"/>
    </row>
    <row r="41" ht="22" customHeight="1">
      <c r="A41" s="10">
        <f>IF(B41="","",ROW()-1)</f>
        <v/>
      </c>
      <c r="B41" s="7" t="n"/>
      <c r="C41" s="11">
        <f>IFERROR(VLOOKUP(B41,'1·Proje Girişi'!$A:$B,2,FALSE),"")</f>
        <v/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  <c r="M41" s="8" t="n"/>
    </row>
    <row r="42" ht="22" customHeight="1">
      <c r="A42" s="10">
        <f>IF(B42="","",ROW()-1)</f>
        <v/>
      </c>
      <c r="B42" s="7" t="n"/>
      <c r="C42" s="11">
        <f>IFERROR(VLOOKUP(B42,'1·Proje Girişi'!$A:$B,2,FALSE),"")</f>
        <v/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8" t="n"/>
      <c r="M42" s="8" t="n"/>
    </row>
    <row r="43" ht="22" customHeight="1">
      <c r="A43" s="10">
        <f>IF(B43="","",ROW()-1)</f>
        <v/>
      </c>
      <c r="B43" s="7" t="n"/>
      <c r="C43" s="11">
        <f>IFERROR(VLOOKUP(B43,'1·Proje Girişi'!$A:$B,2,FALSE),"")</f>
        <v/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  <c r="M43" s="8" t="n"/>
    </row>
    <row r="44" ht="22" customHeight="1">
      <c r="A44" s="10">
        <f>IF(B44="","",ROW()-1)</f>
        <v/>
      </c>
      <c r="B44" s="7" t="n"/>
      <c r="C44" s="11">
        <f>IFERROR(VLOOKUP(B44,'1·Proje Girişi'!$A:$B,2,FALSE),"")</f>
        <v/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  <c r="M44" s="8" t="n"/>
    </row>
    <row r="45" ht="22" customHeight="1">
      <c r="A45" s="10">
        <f>IF(B45="","",ROW()-1)</f>
        <v/>
      </c>
      <c r="B45" s="7" t="n"/>
      <c r="C45" s="11">
        <f>IFERROR(VLOOKUP(B45,'1·Proje Girişi'!$A:$B,2,FALSE),"")</f>
        <v/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  <c r="M45" s="8" t="n"/>
    </row>
    <row r="46" ht="22" customHeight="1">
      <c r="A46" s="10">
        <f>IF(B46="","",ROW()-1)</f>
        <v/>
      </c>
      <c r="B46" s="7" t="n"/>
      <c r="C46" s="11">
        <f>IFERROR(VLOOKUP(B46,'1·Proje Girişi'!$A:$B,2,FALSE),"")</f>
        <v/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8" t="n"/>
      <c r="M46" s="8" t="n"/>
    </row>
    <row r="47" ht="22" customHeight="1">
      <c r="A47" s="10">
        <f>IF(B47="","",ROW()-1)</f>
        <v/>
      </c>
      <c r="B47" s="7" t="n"/>
      <c r="C47" s="11">
        <f>IFERROR(VLOOKUP(B47,'1·Proje Girişi'!$A:$B,2,FALSE),"")</f>
        <v/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8" t="n"/>
      <c r="M47" s="8" t="n"/>
    </row>
    <row r="48" ht="22" customHeight="1">
      <c r="A48" s="10">
        <f>IF(B48="","",ROW()-1)</f>
        <v/>
      </c>
      <c r="B48" s="7" t="n"/>
      <c r="C48" s="11">
        <f>IFERROR(VLOOKUP(B48,'1·Proje Girişi'!$A:$B,2,FALSE),"")</f>
        <v/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  <c r="M48" s="8" t="n"/>
    </row>
    <row r="49" ht="22" customHeight="1">
      <c r="A49" s="10">
        <f>IF(B49="","",ROW()-1)</f>
        <v/>
      </c>
      <c r="B49" s="7" t="n"/>
      <c r="C49" s="11">
        <f>IFERROR(VLOOKUP(B49,'1·Proje Girişi'!$A:$B,2,FALSE),"")</f>
        <v/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8" t="n"/>
      <c r="M49" s="8" t="n"/>
    </row>
    <row r="50" ht="22" customHeight="1">
      <c r="A50" s="10">
        <f>IF(B50="","",ROW()-1)</f>
        <v/>
      </c>
      <c r="B50" s="7" t="n"/>
      <c r="C50" s="11">
        <f>IFERROR(VLOOKUP(B50,'1·Proje Girişi'!$A:$B,2,FALSE),"")</f>
        <v/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8" t="n"/>
      <c r="M50" s="8" t="n"/>
    </row>
    <row r="51" ht="22" customHeight="1">
      <c r="A51" s="10">
        <f>IF(B51="","",ROW()-1)</f>
        <v/>
      </c>
      <c r="B51" s="7" t="n"/>
      <c r="C51" s="11">
        <f>IFERROR(VLOOKUP(B51,'1·Proje Girişi'!$A:$B,2,FALSE),"")</f>
        <v/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  <c r="M51" s="8" t="n"/>
    </row>
    <row r="52" ht="22" customHeight="1">
      <c r="A52" s="10">
        <f>IF(B52="","",ROW()-1)</f>
        <v/>
      </c>
      <c r="B52" s="7" t="n"/>
      <c r="C52" s="11">
        <f>IFERROR(VLOOKUP(B52,'1·Proje Girişi'!$A:$B,2,FALSE),"")</f>
        <v/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8" t="n"/>
      <c r="M52" s="8" t="n"/>
    </row>
    <row r="53" ht="22" customHeight="1">
      <c r="A53" s="10">
        <f>IF(B53="","",ROW()-1)</f>
        <v/>
      </c>
      <c r="B53" s="7" t="n"/>
      <c r="C53" s="11">
        <f>IFERROR(VLOOKUP(B53,'1·Proje Girişi'!$A:$B,2,FALSE),"")</f>
        <v/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  <c r="M53" s="8" t="n"/>
    </row>
    <row r="54" ht="22" customHeight="1">
      <c r="A54" s="10">
        <f>IF(B54="","",ROW()-1)</f>
        <v/>
      </c>
      <c r="B54" s="7" t="n"/>
      <c r="C54" s="11">
        <f>IFERROR(VLOOKUP(B54,'1·Proje Girişi'!$A:$B,2,FALSE),"")</f>
        <v/>
      </c>
      <c r="D54" s="7" t="n"/>
      <c r="E54" s="7" t="n"/>
      <c r="F54" s="7" t="n"/>
      <c r="G54" s="7" t="n"/>
      <c r="H54" s="7" t="n"/>
      <c r="I54" s="7" t="n"/>
      <c r="J54" s="7" t="n"/>
      <c r="K54" s="7" t="n"/>
      <c r="L54" s="8" t="n"/>
      <c r="M54" s="8" t="n"/>
    </row>
    <row r="55" ht="22" customHeight="1">
      <c r="A55" s="10">
        <f>IF(B55="","",ROW()-1)</f>
        <v/>
      </c>
      <c r="B55" s="7" t="n"/>
      <c r="C55" s="11">
        <f>IFERROR(VLOOKUP(B55,'1·Proje Girişi'!$A:$B,2,FALSE),"")</f>
        <v/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  <c r="M55" s="8" t="n"/>
    </row>
    <row r="56" ht="22" customHeight="1">
      <c r="A56" s="10">
        <f>IF(B56="","",ROW()-1)</f>
        <v/>
      </c>
      <c r="B56" s="7" t="n"/>
      <c r="C56" s="11">
        <f>IFERROR(VLOOKUP(B56,'1·Proje Girişi'!$A:$B,2,FALSE),"")</f>
        <v/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8" t="n"/>
      <c r="M56" s="8" t="n"/>
    </row>
    <row r="57" ht="22" customHeight="1">
      <c r="A57" s="10">
        <f>IF(B57="","",ROW()-1)</f>
        <v/>
      </c>
      <c r="B57" s="7" t="n"/>
      <c r="C57" s="11">
        <f>IFERROR(VLOOKUP(B57,'1·Proje Girişi'!$A:$B,2,FALSE),"")</f>
        <v/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  <c r="M57" s="8" t="n"/>
    </row>
    <row r="58" ht="22" customHeight="1">
      <c r="A58" s="10">
        <f>IF(B58="","",ROW()-1)</f>
        <v/>
      </c>
      <c r="B58" s="7" t="n"/>
      <c r="C58" s="11">
        <f>IFERROR(VLOOKUP(B58,'1·Proje Girişi'!$A:$B,2,FALSE),"")</f>
        <v/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8" t="n"/>
      <c r="M58" s="8" t="n"/>
    </row>
    <row r="59" ht="22" customHeight="1">
      <c r="A59" s="10">
        <f>IF(B59="","",ROW()-1)</f>
        <v/>
      </c>
      <c r="B59" s="7" t="n"/>
      <c r="C59" s="11">
        <f>IFERROR(VLOOKUP(B59,'1·Proje Girişi'!$A:$B,2,FALSE),"")</f>
        <v/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  <c r="M59" s="8" t="n"/>
    </row>
    <row r="60" ht="22" customHeight="1">
      <c r="A60" s="10">
        <f>IF(B60="","",ROW()-1)</f>
        <v/>
      </c>
      <c r="B60" s="7" t="n"/>
      <c r="C60" s="11">
        <f>IFERROR(VLOOKUP(B60,'1·Proje Girişi'!$A:$B,2,FALSE),"")</f>
        <v/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8" t="n"/>
      <c r="M60" s="8" t="n"/>
    </row>
    <row r="61" ht="22" customHeight="1">
      <c r="A61" s="10">
        <f>IF(B61="","",ROW()-1)</f>
        <v/>
      </c>
      <c r="B61" s="7" t="n"/>
      <c r="C61" s="11">
        <f>IFERROR(VLOOKUP(B61,'1·Proje Girişi'!$A:$B,2,FALSE),"")</f>
        <v/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  <c r="M61" s="8" t="n"/>
    </row>
    <row r="62" ht="22" customHeight="1">
      <c r="A62" s="10">
        <f>IF(B62="","",ROW()-1)</f>
        <v/>
      </c>
      <c r="B62" s="7" t="n"/>
      <c r="C62" s="11">
        <f>IFERROR(VLOOKUP(B62,'1·Proje Girişi'!$A:$B,2,FALSE),"")</f>
        <v/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8" t="n"/>
      <c r="M62" s="8" t="n"/>
    </row>
    <row r="63" ht="22" customHeight="1">
      <c r="A63" s="10">
        <f>IF(B63="","",ROW()-1)</f>
        <v/>
      </c>
      <c r="B63" s="7" t="n"/>
      <c r="C63" s="11">
        <f>IFERROR(VLOOKUP(B63,'1·Proje Girişi'!$A:$B,2,FALSE),"")</f>
        <v/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  <c r="M63" s="8" t="n"/>
    </row>
    <row r="64" ht="22" customHeight="1">
      <c r="A64" s="10">
        <f>IF(B64="","",ROW()-1)</f>
        <v/>
      </c>
      <c r="B64" s="7" t="n"/>
      <c r="C64" s="11">
        <f>IFERROR(VLOOKUP(B64,'1·Proje Girişi'!$A:$B,2,FALSE),"")</f>
        <v/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8" t="n"/>
      <c r="M64" s="8" t="n"/>
    </row>
    <row r="65" ht="22" customHeight="1">
      <c r="A65" s="10">
        <f>IF(B65="","",ROW()-1)</f>
        <v/>
      </c>
      <c r="B65" s="7" t="n"/>
      <c r="C65" s="11">
        <f>IFERROR(VLOOKUP(B65,'1·Proje Girişi'!$A:$B,2,FALSE),"")</f>
        <v/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  <c r="M65" s="8" t="n"/>
    </row>
    <row r="66" ht="22" customHeight="1">
      <c r="A66" s="10">
        <f>IF(B66="","",ROW()-1)</f>
        <v/>
      </c>
      <c r="B66" s="7" t="n"/>
      <c r="C66" s="11">
        <f>IFERROR(VLOOKUP(B66,'1·Proje Girişi'!$A:$B,2,FALSE),"")</f>
        <v/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8" t="n"/>
      <c r="M66" s="8" t="n"/>
    </row>
    <row r="67" ht="22" customHeight="1">
      <c r="A67" s="10">
        <f>IF(B67="","",ROW()-1)</f>
        <v/>
      </c>
      <c r="B67" s="7" t="n"/>
      <c r="C67" s="11">
        <f>IFERROR(VLOOKUP(B67,'1·Proje Girişi'!$A:$B,2,FALSE),"")</f>
        <v/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  <c r="M67" s="8" t="n"/>
    </row>
    <row r="68" ht="22" customHeight="1">
      <c r="A68" s="10">
        <f>IF(B68="","",ROW()-1)</f>
        <v/>
      </c>
      <c r="B68" s="7" t="n"/>
      <c r="C68" s="11">
        <f>IFERROR(VLOOKUP(B68,'1·Proje Girişi'!$A:$B,2,FALSE),"")</f>
        <v/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8" t="n"/>
      <c r="M68" s="8" t="n"/>
    </row>
    <row r="69" ht="22" customHeight="1">
      <c r="A69" s="10">
        <f>IF(B69="","",ROW()-1)</f>
        <v/>
      </c>
      <c r="B69" s="7" t="n"/>
      <c r="C69" s="11">
        <f>IFERROR(VLOOKUP(B69,'1·Proje Girişi'!$A:$B,2,FALSE),"")</f>
        <v/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  <c r="M69" s="8" t="n"/>
    </row>
    <row r="70" ht="22" customHeight="1">
      <c r="A70" s="10">
        <f>IF(B70="","",ROW()-1)</f>
        <v/>
      </c>
      <c r="B70" s="7" t="n"/>
      <c r="C70" s="11">
        <f>IFERROR(VLOOKUP(B70,'1·Proje Girişi'!$A:$B,2,FALSE),"")</f>
        <v/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8" t="n"/>
      <c r="M70" s="8" t="n"/>
    </row>
    <row r="71" ht="22" customHeight="1">
      <c r="A71" s="10">
        <f>IF(B71="","",ROW()-1)</f>
        <v/>
      </c>
      <c r="B71" s="7" t="n"/>
      <c r="C71" s="11">
        <f>IFERROR(VLOOKUP(B71,'1·Proje Girişi'!$A:$B,2,FALSE),"")</f>
        <v/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  <c r="M71" s="8" t="n"/>
    </row>
    <row r="72" ht="22" customHeight="1">
      <c r="A72" s="10">
        <f>IF(B72="","",ROW()-1)</f>
        <v/>
      </c>
      <c r="B72" s="7" t="n"/>
      <c r="C72" s="11">
        <f>IFERROR(VLOOKUP(B72,'1·Proje Girişi'!$A:$B,2,FALSE),"")</f>
        <v/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8" t="n"/>
      <c r="M72" s="8" t="n"/>
    </row>
    <row r="73" ht="22" customHeight="1">
      <c r="A73" s="10">
        <f>IF(B73="","",ROW()-1)</f>
        <v/>
      </c>
      <c r="B73" s="7" t="n"/>
      <c r="C73" s="11">
        <f>IFERROR(VLOOKUP(B73,'1·Proje Girişi'!$A:$B,2,FALSE),"")</f>
        <v/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  <c r="M73" s="8" t="n"/>
    </row>
    <row r="74" ht="22" customHeight="1">
      <c r="A74" s="10">
        <f>IF(B74="","",ROW()-1)</f>
        <v/>
      </c>
      <c r="B74" s="7" t="n"/>
      <c r="C74" s="11">
        <f>IFERROR(VLOOKUP(B74,'1·Proje Girişi'!$A:$B,2,FALSE),"")</f>
        <v/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8" t="n"/>
      <c r="M74" s="8" t="n"/>
    </row>
    <row r="75" ht="22" customHeight="1">
      <c r="A75" s="10">
        <f>IF(B75="","",ROW()-1)</f>
        <v/>
      </c>
      <c r="B75" s="7" t="n"/>
      <c r="C75" s="11">
        <f>IFERROR(VLOOKUP(B75,'1·Proje Girişi'!$A:$B,2,FALSE),"")</f>
        <v/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  <c r="M75" s="8" t="n"/>
    </row>
    <row r="76" ht="22" customHeight="1">
      <c r="A76" s="10">
        <f>IF(B76="","",ROW()-1)</f>
        <v/>
      </c>
      <c r="B76" s="7" t="n"/>
      <c r="C76" s="11">
        <f>IFERROR(VLOOKUP(B76,'1·Proje Girişi'!$A:$B,2,FALSE),"")</f>
        <v/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8" t="n"/>
      <c r="M76" s="8" t="n"/>
    </row>
    <row r="77" ht="22" customHeight="1">
      <c r="A77" s="10">
        <f>IF(B77="","",ROW()-1)</f>
        <v/>
      </c>
      <c r="B77" s="7" t="n"/>
      <c r="C77" s="11">
        <f>IFERROR(VLOOKUP(B77,'1·Proje Girişi'!$A:$B,2,FALSE),"")</f>
        <v/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  <c r="M77" s="8" t="n"/>
    </row>
    <row r="78" ht="22" customHeight="1">
      <c r="A78" s="10">
        <f>IF(B78="","",ROW()-1)</f>
        <v/>
      </c>
      <c r="B78" s="7" t="n"/>
      <c r="C78" s="11">
        <f>IFERROR(VLOOKUP(B78,'1·Proje Girişi'!$A:$B,2,FALSE),"")</f>
        <v/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8" t="n"/>
      <c r="M78" s="8" t="n"/>
    </row>
    <row r="79" ht="22" customHeight="1">
      <c r="A79" s="10">
        <f>IF(B79="","",ROW()-1)</f>
        <v/>
      </c>
      <c r="B79" s="7" t="n"/>
      <c r="C79" s="11">
        <f>IFERROR(VLOOKUP(B79,'1·Proje Girişi'!$A:$B,2,FALSE),"")</f>
        <v/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  <c r="M79" s="8" t="n"/>
    </row>
    <row r="80" ht="22" customHeight="1">
      <c r="A80" s="10">
        <f>IF(B80="","",ROW()-1)</f>
        <v/>
      </c>
      <c r="B80" s="7" t="n"/>
      <c r="C80" s="11">
        <f>IFERROR(VLOOKUP(B80,'1·Proje Girişi'!$A:$B,2,FALSE),"")</f>
        <v/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8" t="n"/>
      <c r="M80" s="8" t="n"/>
    </row>
    <row r="81" ht="22" customHeight="1">
      <c r="A81" s="10">
        <f>IF(B81="","",ROW()-1)</f>
        <v/>
      </c>
      <c r="B81" s="7" t="n"/>
      <c r="C81" s="11">
        <f>IFERROR(VLOOKUP(B81,'1·Proje Girişi'!$A:$B,2,FALSE),"")</f>
        <v/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  <c r="M81" s="8" t="n"/>
    </row>
  </sheetData>
  <autoFilter ref="A1:M1"/>
  <conditionalFormatting sqref="A2:M81">
    <cfRule type="expression" priority="1" dxfId="0" stopIfTrue="0">
      <formula>MOD(ROW(),2)=0</formula>
    </cfRule>
  </conditionalFormatting>
  <dataValidations count="1">
    <dataValidation sqref="B2:B81" showDropDown="0" showInputMessage="0" showErrorMessage="0" allowBlank="1" errorTitle="Geçersiz proje" error="Listede olmayan proje kodu." type="list">
      <formula1>='1·Proje Girişi'!$A$2:$A$81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2" customWidth="1" min="4" max="4"/>
    <col width="11" customWidth="1" min="5" max="5"/>
    <col width="12" customWidth="1" min="6" max="6"/>
    <col width="20" customWidth="1" min="7" max="7"/>
    <col width="13" customWidth="1" min="8" max="8"/>
    <col width="18" customWidth="1" min="9" max="9"/>
    <col width="16" customWidth="1" min="10" max="10"/>
    <col width="10" customWidth="1" min="11" max="11"/>
    <col width="14" customWidth="1" min="12" max="12"/>
    <col width="14" customWidth="1" min="13" max="13"/>
    <col width="13" customWidth="1" min="14" max="14"/>
    <col width="15" customWidth="1" min="15" max="15"/>
    <col width="26" customWidth="1" min="16" max="16"/>
  </cols>
  <sheetData>
    <row r="1" ht="30" customHeight="1">
      <c r="A1" s="6" t="inlineStr">
        <is>
          <t>Proje Kodu</t>
        </is>
      </c>
      <c r="B1" s="6" t="inlineStr">
        <is>
          <t>Ekipman / Alt Parça</t>
        </is>
      </c>
      <c r="C1" s="6" t="inlineStr">
        <is>
          <t>Tedarikçi</t>
        </is>
      </c>
      <c r="D1" s="6" t="inlineStr">
        <is>
          <t>Fiyat</t>
        </is>
      </c>
      <c r="E1" s="6" t="inlineStr">
        <is>
          <t>Para Birimi</t>
        </is>
      </c>
      <c r="F1" s="6" t="inlineStr">
        <is>
          <t>Eşik</t>
        </is>
      </c>
      <c r="G1" s="6" t="inlineStr">
        <is>
          <t>Onay Gerekli?</t>
        </is>
      </c>
      <c r="H1" s="6" t="inlineStr">
        <is>
          <t>Termin</t>
        </is>
      </c>
      <c r="I1" s="6" t="inlineStr">
        <is>
          <t>Ödeme Koşulu</t>
        </is>
      </c>
      <c r="J1" s="6" t="inlineStr">
        <is>
          <t>Teslimat</t>
        </is>
      </c>
      <c r="K1" s="6" t="inlineStr">
        <is>
          <t>Kazanan?</t>
        </is>
      </c>
      <c r="L1" s="6" t="inlineStr">
        <is>
          <t>Onay Durumu</t>
        </is>
      </c>
      <c r="M1" s="6" t="inlineStr">
        <is>
          <t>Onaylayan</t>
        </is>
      </c>
      <c r="N1" s="6" t="inlineStr">
        <is>
          <t>Onay Tarihi</t>
        </is>
      </c>
      <c r="O1" s="6" t="inlineStr">
        <is>
          <t>Süreç Durumu</t>
        </is>
      </c>
      <c r="P1" s="6" t="inlineStr">
        <is>
          <t>Onay Notu</t>
        </is>
      </c>
    </row>
    <row r="2" ht="22" customHeight="1">
      <c r="A2" s="7" t="inlineStr">
        <is>
          <t>SYN-2026-001</t>
        </is>
      </c>
      <c r="B2" s="7" t="inlineStr">
        <is>
          <t>Reaktör gövdesi 316L</t>
        </is>
      </c>
      <c r="C2" s="7" t="inlineStr">
        <is>
          <t>MetalTech Ltd.</t>
        </is>
      </c>
      <c r="D2" s="12" t="n">
        <v>4500</v>
      </c>
      <c r="E2" s="7" t="inlineStr">
        <is>
          <t>EUR</t>
        </is>
      </c>
      <c r="F2" s="13">
        <f>IFERROR(VLOOKUP(E2,Listeler!$E$3:$F$5,2,FALSE),"")</f>
        <v/>
      </c>
      <c r="G2" s="10">
        <f>IF(OR(D2="",E2=""),"",IF(D2&gt;F2,"Arşen Onayı Gerekli","Doğrudan (eşik altı)"))</f>
        <v/>
      </c>
      <c r="H2" s="8" t="n"/>
      <c r="I2" s="7" t="inlineStr">
        <is>
          <t>%50 peşin</t>
        </is>
      </c>
      <c r="J2" s="7" t="inlineStr">
        <is>
          <t>6 hafta</t>
        </is>
      </c>
      <c r="K2" s="7" t="inlineStr">
        <is>
          <t>Evet</t>
        </is>
      </c>
      <c r="L2" s="7" t="inlineStr">
        <is>
          <t>bekliyor</t>
        </is>
      </c>
      <c r="M2" s="7" t="n"/>
      <c r="N2" s="8" t="n"/>
      <c r="O2" s="7" t="inlineStr">
        <is>
          <t>Onayda</t>
        </is>
      </c>
      <c r="P2" s="7" t="n"/>
    </row>
    <row r="3" ht="22" customHeight="1">
      <c r="A3" s="7" t="n"/>
      <c r="B3" s="7" t="n"/>
      <c r="C3" s="7" t="n"/>
      <c r="D3" s="12" t="n"/>
      <c r="E3" s="7" t="n"/>
      <c r="F3" s="13">
        <f>IFERROR(VLOOKUP(E3,Listeler!$E$3:$F$5,2,FALSE),"")</f>
        <v/>
      </c>
      <c r="G3" s="10">
        <f>IF(OR(D3="",E3=""),"",IF(D3&gt;F3,"Arşen Onayı Gerekli","Doğrudan (eşik altı)"))</f>
        <v/>
      </c>
      <c r="H3" s="8" t="n"/>
      <c r="I3" s="7" t="n"/>
      <c r="J3" s="7" t="n"/>
      <c r="K3" s="7" t="n"/>
      <c r="L3" s="7" t="n"/>
      <c r="M3" s="7" t="n"/>
      <c r="N3" s="8" t="n"/>
      <c r="O3" s="7" t="n"/>
      <c r="P3" s="7" t="n"/>
    </row>
    <row r="4" ht="22" customHeight="1">
      <c r="A4" s="7" t="n"/>
      <c r="B4" s="7" t="n"/>
      <c r="C4" s="7" t="n"/>
      <c r="D4" s="12" t="n"/>
      <c r="E4" s="7" t="n"/>
      <c r="F4" s="13">
        <f>IFERROR(VLOOKUP(E4,Listeler!$E$3:$F$5,2,FALSE),"")</f>
        <v/>
      </c>
      <c r="G4" s="10">
        <f>IF(OR(D4="",E4=""),"",IF(D4&gt;F4,"Arşen Onayı Gerekli","Doğrudan (eşik altı)"))</f>
        <v/>
      </c>
      <c r="H4" s="8" t="n"/>
      <c r="I4" s="7" t="n"/>
      <c r="J4" s="7" t="n"/>
      <c r="K4" s="7" t="n"/>
      <c r="L4" s="7" t="n"/>
      <c r="M4" s="7" t="n"/>
      <c r="N4" s="8" t="n"/>
      <c r="O4" s="7" t="n"/>
      <c r="P4" s="7" t="n"/>
    </row>
    <row r="5" ht="22" customHeight="1">
      <c r="A5" s="7" t="n"/>
      <c r="B5" s="7" t="n"/>
      <c r="C5" s="7" t="n"/>
      <c r="D5" s="12" t="n"/>
      <c r="E5" s="7" t="n"/>
      <c r="F5" s="13">
        <f>IFERROR(VLOOKUP(E5,Listeler!$E$3:$F$5,2,FALSE),"")</f>
        <v/>
      </c>
      <c r="G5" s="10">
        <f>IF(OR(D5="",E5=""),"",IF(D5&gt;F5,"Arşen Onayı Gerekli","Doğrudan (eşik altı)"))</f>
        <v/>
      </c>
      <c r="H5" s="8" t="n"/>
      <c r="I5" s="7" t="n"/>
      <c r="J5" s="7" t="n"/>
      <c r="K5" s="7" t="n"/>
      <c r="L5" s="7" t="n"/>
      <c r="M5" s="7" t="n"/>
      <c r="N5" s="8" t="n"/>
      <c r="O5" s="7" t="n"/>
      <c r="P5" s="7" t="n"/>
    </row>
    <row r="6" ht="22" customHeight="1">
      <c r="A6" s="7" t="n"/>
      <c r="B6" s="7" t="n"/>
      <c r="C6" s="7" t="n"/>
      <c r="D6" s="12" t="n"/>
      <c r="E6" s="7" t="n"/>
      <c r="F6" s="13">
        <f>IFERROR(VLOOKUP(E6,Listeler!$E$3:$F$5,2,FALSE),"")</f>
        <v/>
      </c>
      <c r="G6" s="10">
        <f>IF(OR(D6="",E6=""),"",IF(D6&gt;F6,"Arşen Onayı Gerekli","Doğrudan (eşik altı)"))</f>
        <v/>
      </c>
      <c r="H6" s="8" t="n"/>
      <c r="I6" s="7" t="n"/>
      <c r="J6" s="7" t="n"/>
      <c r="K6" s="7" t="n"/>
      <c r="L6" s="7" t="n"/>
      <c r="M6" s="7" t="n"/>
      <c r="N6" s="8" t="n"/>
      <c r="O6" s="7" t="n"/>
      <c r="P6" s="7" t="n"/>
    </row>
    <row r="7" ht="22" customHeight="1">
      <c r="A7" s="7" t="n"/>
      <c r="B7" s="7" t="n"/>
      <c r="C7" s="7" t="n"/>
      <c r="D7" s="12" t="n"/>
      <c r="E7" s="7" t="n"/>
      <c r="F7" s="13">
        <f>IFERROR(VLOOKUP(E7,Listeler!$E$3:$F$5,2,FALSE),"")</f>
        <v/>
      </c>
      <c r="G7" s="10">
        <f>IF(OR(D7="",E7=""),"",IF(D7&gt;F7,"Arşen Onayı Gerekli","Doğrudan (eşik altı)"))</f>
        <v/>
      </c>
      <c r="H7" s="8" t="n"/>
      <c r="I7" s="7" t="n"/>
      <c r="J7" s="7" t="n"/>
      <c r="K7" s="7" t="n"/>
      <c r="L7" s="7" t="n"/>
      <c r="M7" s="7" t="n"/>
      <c r="N7" s="8" t="n"/>
      <c r="O7" s="7" t="n"/>
      <c r="P7" s="7" t="n"/>
    </row>
    <row r="8" ht="22" customHeight="1">
      <c r="A8" s="7" t="n"/>
      <c r="B8" s="7" t="n"/>
      <c r="C8" s="7" t="n"/>
      <c r="D8" s="12" t="n"/>
      <c r="E8" s="7" t="n"/>
      <c r="F8" s="13">
        <f>IFERROR(VLOOKUP(E8,Listeler!$E$3:$F$5,2,FALSE),"")</f>
        <v/>
      </c>
      <c r="G8" s="10">
        <f>IF(OR(D8="",E8=""),"",IF(D8&gt;F8,"Arşen Onayı Gerekli","Doğrudan (eşik altı)"))</f>
        <v/>
      </c>
      <c r="H8" s="8" t="n"/>
      <c r="I8" s="7" t="n"/>
      <c r="J8" s="7" t="n"/>
      <c r="K8" s="7" t="n"/>
      <c r="L8" s="7" t="n"/>
      <c r="M8" s="7" t="n"/>
      <c r="N8" s="8" t="n"/>
      <c r="O8" s="7" t="n"/>
      <c r="P8" s="7" t="n"/>
    </row>
    <row r="9" ht="22" customHeight="1">
      <c r="A9" s="7" t="n"/>
      <c r="B9" s="7" t="n"/>
      <c r="C9" s="7" t="n"/>
      <c r="D9" s="12" t="n"/>
      <c r="E9" s="7" t="n"/>
      <c r="F9" s="13">
        <f>IFERROR(VLOOKUP(E9,Listeler!$E$3:$F$5,2,FALSE),"")</f>
        <v/>
      </c>
      <c r="G9" s="10">
        <f>IF(OR(D9="",E9=""),"",IF(D9&gt;F9,"Arşen Onayı Gerekli","Doğrudan (eşik altı)"))</f>
        <v/>
      </c>
      <c r="H9" s="8" t="n"/>
      <c r="I9" s="7" t="n"/>
      <c r="J9" s="7" t="n"/>
      <c r="K9" s="7" t="n"/>
      <c r="L9" s="7" t="n"/>
      <c r="M9" s="7" t="n"/>
      <c r="N9" s="8" t="n"/>
      <c r="O9" s="7" t="n"/>
      <c r="P9" s="7" t="n"/>
    </row>
    <row r="10" ht="22" customHeight="1">
      <c r="A10" s="7" t="n"/>
      <c r="B10" s="7" t="n"/>
      <c r="C10" s="7" t="n"/>
      <c r="D10" s="12" t="n"/>
      <c r="E10" s="7" t="n"/>
      <c r="F10" s="13">
        <f>IFERROR(VLOOKUP(E10,Listeler!$E$3:$F$5,2,FALSE),"")</f>
        <v/>
      </c>
      <c r="G10" s="10">
        <f>IF(OR(D10="",E10=""),"",IF(D10&gt;F10,"Arşen Onayı Gerekli","Doğrudan (eşik altı)"))</f>
        <v/>
      </c>
      <c r="H10" s="8" t="n"/>
      <c r="I10" s="7" t="n"/>
      <c r="J10" s="7" t="n"/>
      <c r="K10" s="7" t="n"/>
      <c r="L10" s="7" t="n"/>
      <c r="M10" s="7" t="n"/>
      <c r="N10" s="8" t="n"/>
      <c r="O10" s="7" t="n"/>
      <c r="P10" s="7" t="n"/>
    </row>
    <row r="11" ht="22" customHeight="1">
      <c r="A11" s="7" t="n"/>
      <c r="B11" s="7" t="n"/>
      <c r="C11" s="7" t="n"/>
      <c r="D11" s="12" t="n"/>
      <c r="E11" s="7" t="n"/>
      <c r="F11" s="13">
        <f>IFERROR(VLOOKUP(E11,Listeler!$E$3:$F$5,2,FALSE),"")</f>
        <v/>
      </c>
      <c r="G11" s="10">
        <f>IF(OR(D11="",E11=""),"",IF(D11&gt;F11,"Arşen Onayı Gerekli","Doğrudan (eşik altı)"))</f>
        <v/>
      </c>
      <c r="H11" s="8" t="n"/>
      <c r="I11" s="7" t="n"/>
      <c r="J11" s="7" t="n"/>
      <c r="K11" s="7" t="n"/>
      <c r="L11" s="7" t="n"/>
      <c r="M11" s="7" t="n"/>
      <c r="N11" s="8" t="n"/>
      <c r="O11" s="7" t="n"/>
      <c r="P11" s="7" t="n"/>
    </row>
    <row r="12" ht="22" customHeight="1">
      <c r="A12" s="7" t="n"/>
      <c r="B12" s="7" t="n"/>
      <c r="C12" s="7" t="n"/>
      <c r="D12" s="12" t="n"/>
      <c r="E12" s="7" t="n"/>
      <c r="F12" s="13">
        <f>IFERROR(VLOOKUP(E12,Listeler!$E$3:$F$5,2,FALSE),"")</f>
        <v/>
      </c>
      <c r="G12" s="10">
        <f>IF(OR(D12="",E12=""),"",IF(D12&gt;F12,"Arşen Onayı Gerekli","Doğrudan (eşik altı)"))</f>
        <v/>
      </c>
      <c r="H12" s="8" t="n"/>
      <c r="I12" s="7" t="n"/>
      <c r="J12" s="7" t="n"/>
      <c r="K12" s="7" t="n"/>
      <c r="L12" s="7" t="n"/>
      <c r="M12" s="7" t="n"/>
      <c r="N12" s="8" t="n"/>
      <c r="O12" s="7" t="n"/>
      <c r="P12" s="7" t="n"/>
    </row>
    <row r="13" ht="22" customHeight="1">
      <c r="A13" s="7" t="n"/>
      <c r="B13" s="7" t="n"/>
      <c r="C13" s="7" t="n"/>
      <c r="D13" s="12" t="n"/>
      <c r="E13" s="7" t="n"/>
      <c r="F13" s="13">
        <f>IFERROR(VLOOKUP(E13,Listeler!$E$3:$F$5,2,FALSE),"")</f>
        <v/>
      </c>
      <c r="G13" s="10">
        <f>IF(OR(D13="",E13=""),"",IF(D13&gt;F13,"Arşen Onayı Gerekli","Doğrudan (eşik altı)"))</f>
        <v/>
      </c>
      <c r="H13" s="8" t="n"/>
      <c r="I13" s="7" t="n"/>
      <c r="J13" s="7" t="n"/>
      <c r="K13" s="7" t="n"/>
      <c r="L13" s="7" t="n"/>
      <c r="M13" s="7" t="n"/>
      <c r="N13" s="8" t="n"/>
      <c r="O13" s="7" t="n"/>
      <c r="P13" s="7" t="n"/>
    </row>
    <row r="14" ht="22" customHeight="1">
      <c r="A14" s="7" t="n"/>
      <c r="B14" s="7" t="n"/>
      <c r="C14" s="7" t="n"/>
      <c r="D14" s="12" t="n"/>
      <c r="E14" s="7" t="n"/>
      <c r="F14" s="13">
        <f>IFERROR(VLOOKUP(E14,Listeler!$E$3:$F$5,2,FALSE),"")</f>
        <v/>
      </c>
      <c r="G14" s="10">
        <f>IF(OR(D14="",E14=""),"",IF(D14&gt;F14,"Arşen Onayı Gerekli","Doğrudan (eşik altı)"))</f>
        <v/>
      </c>
      <c r="H14" s="8" t="n"/>
      <c r="I14" s="7" t="n"/>
      <c r="J14" s="7" t="n"/>
      <c r="K14" s="7" t="n"/>
      <c r="L14" s="7" t="n"/>
      <c r="M14" s="7" t="n"/>
      <c r="N14" s="8" t="n"/>
      <c r="O14" s="7" t="n"/>
      <c r="P14" s="7" t="n"/>
    </row>
    <row r="15" ht="22" customHeight="1">
      <c r="A15" s="7" t="n"/>
      <c r="B15" s="7" t="n"/>
      <c r="C15" s="7" t="n"/>
      <c r="D15" s="12" t="n"/>
      <c r="E15" s="7" t="n"/>
      <c r="F15" s="13">
        <f>IFERROR(VLOOKUP(E15,Listeler!$E$3:$F$5,2,FALSE),"")</f>
        <v/>
      </c>
      <c r="G15" s="10">
        <f>IF(OR(D15="",E15=""),"",IF(D15&gt;F15,"Arşen Onayı Gerekli","Doğrudan (eşik altı)"))</f>
        <v/>
      </c>
      <c r="H15" s="8" t="n"/>
      <c r="I15" s="7" t="n"/>
      <c r="J15" s="7" t="n"/>
      <c r="K15" s="7" t="n"/>
      <c r="L15" s="7" t="n"/>
      <c r="M15" s="7" t="n"/>
      <c r="N15" s="8" t="n"/>
      <c r="O15" s="7" t="n"/>
      <c r="P15" s="7" t="n"/>
    </row>
    <row r="16" ht="22" customHeight="1">
      <c r="A16" s="7" t="n"/>
      <c r="B16" s="7" t="n"/>
      <c r="C16" s="7" t="n"/>
      <c r="D16" s="12" t="n"/>
      <c r="E16" s="7" t="n"/>
      <c r="F16" s="13">
        <f>IFERROR(VLOOKUP(E16,Listeler!$E$3:$F$5,2,FALSE),"")</f>
        <v/>
      </c>
      <c r="G16" s="10">
        <f>IF(OR(D16="",E16=""),"",IF(D16&gt;F16,"Arşen Onayı Gerekli","Doğrudan (eşik altı)"))</f>
        <v/>
      </c>
      <c r="H16" s="8" t="n"/>
      <c r="I16" s="7" t="n"/>
      <c r="J16" s="7" t="n"/>
      <c r="K16" s="7" t="n"/>
      <c r="L16" s="7" t="n"/>
      <c r="M16" s="7" t="n"/>
      <c r="N16" s="8" t="n"/>
      <c r="O16" s="7" t="n"/>
      <c r="P16" s="7" t="n"/>
    </row>
    <row r="17" ht="22" customHeight="1">
      <c r="A17" s="7" t="n"/>
      <c r="B17" s="7" t="n"/>
      <c r="C17" s="7" t="n"/>
      <c r="D17" s="12" t="n"/>
      <c r="E17" s="7" t="n"/>
      <c r="F17" s="13">
        <f>IFERROR(VLOOKUP(E17,Listeler!$E$3:$F$5,2,FALSE),"")</f>
        <v/>
      </c>
      <c r="G17" s="10">
        <f>IF(OR(D17="",E17=""),"",IF(D17&gt;F17,"Arşen Onayı Gerekli","Doğrudan (eşik altı)"))</f>
        <v/>
      </c>
      <c r="H17" s="8" t="n"/>
      <c r="I17" s="7" t="n"/>
      <c r="J17" s="7" t="n"/>
      <c r="K17" s="7" t="n"/>
      <c r="L17" s="7" t="n"/>
      <c r="M17" s="7" t="n"/>
      <c r="N17" s="8" t="n"/>
      <c r="O17" s="7" t="n"/>
      <c r="P17" s="7" t="n"/>
    </row>
    <row r="18" ht="22" customHeight="1">
      <c r="A18" s="7" t="n"/>
      <c r="B18" s="7" t="n"/>
      <c r="C18" s="7" t="n"/>
      <c r="D18" s="12" t="n"/>
      <c r="E18" s="7" t="n"/>
      <c r="F18" s="13">
        <f>IFERROR(VLOOKUP(E18,Listeler!$E$3:$F$5,2,FALSE),"")</f>
        <v/>
      </c>
      <c r="G18" s="10">
        <f>IF(OR(D18="",E18=""),"",IF(D18&gt;F18,"Arşen Onayı Gerekli","Doğrudan (eşik altı)"))</f>
        <v/>
      </c>
      <c r="H18" s="8" t="n"/>
      <c r="I18" s="7" t="n"/>
      <c r="J18" s="7" t="n"/>
      <c r="K18" s="7" t="n"/>
      <c r="L18" s="7" t="n"/>
      <c r="M18" s="7" t="n"/>
      <c r="N18" s="8" t="n"/>
      <c r="O18" s="7" t="n"/>
      <c r="P18" s="7" t="n"/>
    </row>
    <row r="19" ht="22" customHeight="1">
      <c r="A19" s="7" t="n"/>
      <c r="B19" s="7" t="n"/>
      <c r="C19" s="7" t="n"/>
      <c r="D19" s="12" t="n"/>
      <c r="E19" s="7" t="n"/>
      <c r="F19" s="13">
        <f>IFERROR(VLOOKUP(E19,Listeler!$E$3:$F$5,2,FALSE),"")</f>
        <v/>
      </c>
      <c r="G19" s="10">
        <f>IF(OR(D19="",E19=""),"",IF(D19&gt;F19,"Arşen Onayı Gerekli","Doğrudan (eşik altı)"))</f>
        <v/>
      </c>
      <c r="H19" s="8" t="n"/>
      <c r="I19" s="7" t="n"/>
      <c r="J19" s="7" t="n"/>
      <c r="K19" s="7" t="n"/>
      <c r="L19" s="7" t="n"/>
      <c r="M19" s="7" t="n"/>
      <c r="N19" s="8" t="n"/>
      <c r="O19" s="7" t="n"/>
      <c r="P19" s="7" t="n"/>
    </row>
    <row r="20" ht="22" customHeight="1">
      <c r="A20" s="7" t="n"/>
      <c r="B20" s="7" t="n"/>
      <c r="C20" s="7" t="n"/>
      <c r="D20" s="12" t="n"/>
      <c r="E20" s="7" t="n"/>
      <c r="F20" s="13">
        <f>IFERROR(VLOOKUP(E20,Listeler!$E$3:$F$5,2,FALSE),"")</f>
        <v/>
      </c>
      <c r="G20" s="10">
        <f>IF(OR(D20="",E20=""),"",IF(D20&gt;F20,"Arşen Onayı Gerekli","Doğrudan (eşik altı)"))</f>
        <v/>
      </c>
      <c r="H20" s="8" t="n"/>
      <c r="I20" s="7" t="n"/>
      <c r="J20" s="7" t="n"/>
      <c r="K20" s="7" t="n"/>
      <c r="L20" s="7" t="n"/>
      <c r="M20" s="7" t="n"/>
      <c r="N20" s="8" t="n"/>
      <c r="O20" s="7" t="n"/>
      <c r="P20" s="7" t="n"/>
    </row>
    <row r="21" ht="22" customHeight="1">
      <c r="A21" s="7" t="n"/>
      <c r="B21" s="7" t="n"/>
      <c r="C21" s="7" t="n"/>
      <c r="D21" s="12" t="n"/>
      <c r="E21" s="7" t="n"/>
      <c r="F21" s="13">
        <f>IFERROR(VLOOKUP(E21,Listeler!$E$3:$F$5,2,FALSE),"")</f>
        <v/>
      </c>
      <c r="G21" s="10">
        <f>IF(OR(D21="",E21=""),"",IF(D21&gt;F21,"Arşen Onayı Gerekli","Doğrudan (eşik altı)"))</f>
        <v/>
      </c>
      <c r="H21" s="8" t="n"/>
      <c r="I21" s="7" t="n"/>
      <c r="J21" s="7" t="n"/>
      <c r="K21" s="7" t="n"/>
      <c r="L21" s="7" t="n"/>
      <c r="M21" s="7" t="n"/>
      <c r="N21" s="8" t="n"/>
      <c r="O21" s="7" t="n"/>
      <c r="P21" s="7" t="n"/>
    </row>
    <row r="22" ht="22" customHeight="1">
      <c r="A22" s="7" t="n"/>
      <c r="B22" s="7" t="n"/>
      <c r="C22" s="7" t="n"/>
      <c r="D22" s="12" t="n"/>
      <c r="E22" s="7" t="n"/>
      <c r="F22" s="13">
        <f>IFERROR(VLOOKUP(E22,Listeler!$E$3:$F$5,2,FALSE),"")</f>
        <v/>
      </c>
      <c r="G22" s="10">
        <f>IF(OR(D22="",E22=""),"",IF(D22&gt;F22,"Arşen Onayı Gerekli","Doğrudan (eşik altı)"))</f>
        <v/>
      </c>
      <c r="H22" s="8" t="n"/>
      <c r="I22" s="7" t="n"/>
      <c r="J22" s="7" t="n"/>
      <c r="K22" s="7" t="n"/>
      <c r="L22" s="7" t="n"/>
      <c r="M22" s="7" t="n"/>
      <c r="N22" s="8" t="n"/>
      <c r="O22" s="7" t="n"/>
      <c r="P22" s="7" t="n"/>
    </row>
    <row r="23" ht="22" customHeight="1">
      <c r="A23" s="7" t="n"/>
      <c r="B23" s="7" t="n"/>
      <c r="C23" s="7" t="n"/>
      <c r="D23" s="12" t="n"/>
      <c r="E23" s="7" t="n"/>
      <c r="F23" s="13">
        <f>IFERROR(VLOOKUP(E23,Listeler!$E$3:$F$5,2,FALSE),"")</f>
        <v/>
      </c>
      <c r="G23" s="10">
        <f>IF(OR(D23="",E23=""),"",IF(D23&gt;F23,"Arşen Onayı Gerekli","Doğrudan (eşik altı)"))</f>
        <v/>
      </c>
      <c r="H23" s="8" t="n"/>
      <c r="I23" s="7" t="n"/>
      <c r="J23" s="7" t="n"/>
      <c r="K23" s="7" t="n"/>
      <c r="L23" s="7" t="n"/>
      <c r="M23" s="7" t="n"/>
      <c r="N23" s="8" t="n"/>
      <c r="O23" s="7" t="n"/>
      <c r="P23" s="7" t="n"/>
    </row>
    <row r="24" ht="22" customHeight="1">
      <c r="A24" s="7" t="n"/>
      <c r="B24" s="7" t="n"/>
      <c r="C24" s="7" t="n"/>
      <c r="D24" s="12" t="n"/>
      <c r="E24" s="7" t="n"/>
      <c r="F24" s="13">
        <f>IFERROR(VLOOKUP(E24,Listeler!$E$3:$F$5,2,FALSE),"")</f>
        <v/>
      </c>
      <c r="G24" s="10">
        <f>IF(OR(D24="",E24=""),"",IF(D24&gt;F24,"Arşen Onayı Gerekli","Doğrudan (eşik altı)"))</f>
        <v/>
      </c>
      <c r="H24" s="8" t="n"/>
      <c r="I24" s="7" t="n"/>
      <c r="J24" s="7" t="n"/>
      <c r="K24" s="7" t="n"/>
      <c r="L24" s="7" t="n"/>
      <c r="M24" s="7" t="n"/>
      <c r="N24" s="8" t="n"/>
      <c r="O24" s="7" t="n"/>
      <c r="P24" s="7" t="n"/>
    </row>
    <row r="25" ht="22" customHeight="1">
      <c r="A25" s="7" t="n"/>
      <c r="B25" s="7" t="n"/>
      <c r="C25" s="7" t="n"/>
      <c r="D25" s="12" t="n"/>
      <c r="E25" s="7" t="n"/>
      <c r="F25" s="13">
        <f>IFERROR(VLOOKUP(E25,Listeler!$E$3:$F$5,2,FALSE),"")</f>
        <v/>
      </c>
      <c r="G25" s="10">
        <f>IF(OR(D25="",E25=""),"",IF(D25&gt;F25,"Arşen Onayı Gerekli","Doğrudan (eşik altı)"))</f>
        <v/>
      </c>
      <c r="H25" s="8" t="n"/>
      <c r="I25" s="7" t="n"/>
      <c r="J25" s="7" t="n"/>
      <c r="K25" s="7" t="n"/>
      <c r="L25" s="7" t="n"/>
      <c r="M25" s="7" t="n"/>
      <c r="N25" s="8" t="n"/>
      <c r="O25" s="7" t="n"/>
      <c r="P25" s="7" t="n"/>
    </row>
    <row r="26" ht="22" customHeight="1">
      <c r="A26" s="7" t="n"/>
      <c r="B26" s="7" t="n"/>
      <c r="C26" s="7" t="n"/>
      <c r="D26" s="12" t="n"/>
      <c r="E26" s="7" t="n"/>
      <c r="F26" s="13">
        <f>IFERROR(VLOOKUP(E26,Listeler!$E$3:$F$5,2,FALSE),"")</f>
        <v/>
      </c>
      <c r="G26" s="10">
        <f>IF(OR(D26="",E26=""),"",IF(D26&gt;F26,"Arşen Onayı Gerekli","Doğrudan (eşik altı)"))</f>
        <v/>
      </c>
      <c r="H26" s="8" t="n"/>
      <c r="I26" s="7" t="n"/>
      <c r="J26" s="7" t="n"/>
      <c r="K26" s="7" t="n"/>
      <c r="L26" s="7" t="n"/>
      <c r="M26" s="7" t="n"/>
      <c r="N26" s="8" t="n"/>
      <c r="O26" s="7" t="n"/>
      <c r="P26" s="7" t="n"/>
    </row>
    <row r="27" ht="22" customHeight="1">
      <c r="A27" s="7" t="n"/>
      <c r="B27" s="7" t="n"/>
      <c r="C27" s="7" t="n"/>
      <c r="D27" s="12" t="n"/>
      <c r="E27" s="7" t="n"/>
      <c r="F27" s="13">
        <f>IFERROR(VLOOKUP(E27,Listeler!$E$3:$F$5,2,FALSE),"")</f>
        <v/>
      </c>
      <c r="G27" s="10">
        <f>IF(OR(D27="",E27=""),"",IF(D27&gt;F27,"Arşen Onayı Gerekli","Doğrudan (eşik altı)"))</f>
        <v/>
      </c>
      <c r="H27" s="8" t="n"/>
      <c r="I27" s="7" t="n"/>
      <c r="J27" s="7" t="n"/>
      <c r="K27" s="7" t="n"/>
      <c r="L27" s="7" t="n"/>
      <c r="M27" s="7" t="n"/>
      <c r="N27" s="8" t="n"/>
      <c r="O27" s="7" t="n"/>
      <c r="P27" s="7" t="n"/>
    </row>
    <row r="28" ht="22" customHeight="1">
      <c r="A28" s="7" t="n"/>
      <c r="B28" s="7" t="n"/>
      <c r="C28" s="7" t="n"/>
      <c r="D28" s="12" t="n"/>
      <c r="E28" s="7" t="n"/>
      <c r="F28" s="13">
        <f>IFERROR(VLOOKUP(E28,Listeler!$E$3:$F$5,2,FALSE),"")</f>
        <v/>
      </c>
      <c r="G28" s="10">
        <f>IF(OR(D28="",E28=""),"",IF(D28&gt;F28,"Arşen Onayı Gerekli","Doğrudan (eşik altı)"))</f>
        <v/>
      </c>
      <c r="H28" s="8" t="n"/>
      <c r="I28" s="7" t="n"/>
      <c r="J28" s="7" t="n"/>
      <c r="K28" s="7" t="n"/>
      <c r="L28" s="7" t="n"/>
      <c r="M28" s="7" t="n"/>
      <c r="N28" s="8" t="n"/>
      <c r="O28" s="7" t="n"/>
      <c r="P28" s="7" t="n"/>
    </row>
    <row r="29" ht="22" customHeight="1">
      <c r="A29" s="7" t="n"/>
      <c r="B29" s="7" t="n"/>
      <c r="C29" s="7" t="n"/>
      <c r="D29" s="12" t="n"/>
      <c r="E29" s="7" t="n"/>
      <c r="F29" s="13">
        <f>IFERROR(VLOOKUP(E29,Listeler!$E$3:$F$5,2,FALSE),"")</f>
        <v/>
      </c>
      <c r="G29" s="10">
        <f>IF(OR(D29="",E29=""),"",IF(D29&gt;F29,"Arşen Onayı Gerekli","Doğrudan (eşik altı)"))</f>
        <v/>
      </c>
      <c r="H29" s="8" t="n"/>
      <c r="I29" s="7" t="n"/>
      <c r="J29" s="7" t="n"/>
      <c r="K29" s="7" t="n"/>
      <c r="L29" s="7" t="n"/>
      <c r="M29" s="7" t="n"/>
      <c r="N29" s="8" t="n"/>
      <c r="O29" s="7" t="n"/>
      <c r="P29" s="7" t="n"/>
    </row>
    <row r="30" ht="22" customHeight="1">
      <c r="A30" s="7" t="n"/>
      <c r="B30" s="7" t="n"/>
      <c r="C30" s="7" t="n"/>
      <c r="D30" s="12" t="n"/>
      <c r="E30" s="7" t="n"/>
      <c r="F30" s="13">
        <f>IFERROR(VLOOKUP(E30,Listeler!$E$3:$F$5,2,FALSE),"")</f>
        <v/>
      </c>
      <c r="G30" s="10">
        <f>IF(OR(D30="",E30=""),"",IF(D30&gt;F30,"Arşen Onayı Gerekli","Doğrudan (eşik altı)"))</f>
        <v/>
      </c>
      <c r="H30" s="8" t="n"/>
      <c r="I30" s="7" t="n"/>
      <c r="J30" s="7" t="n"/>
      <c r="K30" s="7" t="n"/>
      <c r="L30" s="7" t="n"/>
      <c r="M30" s="7" t="n"/>
      <c r="N30" s="8" t="n"/>
      <c r="O30" s="7" t="n"/>
      <c r="P30" s="7" t="n"/>
    </row>
    <row r="31" ht="22" customHeight="1">
      <c r="A31" s="7" t="n"/>
      <c r="B31" s="7" t="n"/>
      <c r="C31" s="7" t="n"/>
      <c r="D31" s="12" t="n"/>
      <c r="E31" s="7" t="n"/>
      <c r="F31" s="13">
        <f>IFERROR(VLOOKUP(E31,Listeler!$E$3:$F$5,2,FALSE),"")</f>
        <v/>
      </c>
      <c r="G31" s="10">
        <f>IF(OR(D31="",E31=""),"",IF(D31&gt;F31,"Arşen Onayı Gerekli","Doğrudan (eşik altı)"))</f>
        <v/>
      </c>
      <c r="H31" s="8" t="n"/>
      <c r="I31" s="7" t="n"/>
      <c r="J31" s="7" t="n"/>
      <c r="K31" s="7" t="n"/>
      <c r="L31" s="7" t="n"/>
      <c r="M31" s="7" t="n"/>
      <c r="N31" s="8" t="n"/>
      <c r="O31" s="7" t="n"/>
      <c r="P31" s="7" t="n"/>
    </row>
    <row r="32" ht="22" customHeight="1">
      <c r="A32" s="7" t="n"/>
      <c r="B32" s="7" t="n"/>
      <c r="C32" s="7" t="n"/>
      <c r="D32" s="12" t="n"/>
      <c r="E32" s="7" t="n"/>
      <c r="F32" s="13">
        <f>IFERROR(VLOOKUP(E32,Listeler!$E$3:$F$5,2,FALSE),"")</f>
        <v/>
      </c>
      <c r="G32" s="10">
        <f>IF(OR(D32="",E32=""),"",IF(D32&gt;F32,"Arşen Onayı Gerekli","Doğrudan (eşik altı)"))</f>
        <v/>
      </c>
      <c r="H32" s="8" t="n"/>
      <c r="I32" s="7" t="n"/>
      <c r="J32" s="7" t="n"/>
      <c r="K32" s="7" t="n"/>
      <c r="L32" s="7" t="n"/>
      <c r="M32" s="7" t="n"/>
      <c r="N32" s="8" t="n"/>
      <c r="O32" s="7" t="n"/>
      <c r="P32" s="7" t="n"/>
    </row>
    <row r="33" ht="22" customHeight="1">
      <c r="A33" s="7" t="n"/>
      <c r="B33" s="7" t="n"/>
      <c r="C33" s="7" t="n"/>
      <c r="D33" s="12" t="n"/>
      <c r="E33" s="7" t="n"/>
      <c r="F33" s="13">
        <f>IFERROR(VLOOKUP(E33,Listeler!$E$3:$F$5,2,FALSE),"")</f>
        <v/>
      </c>
      <c r="G33" s="10">
        <f>IF(OR(D33="",E33=""),"",IF(D33&gt;F33,"Arşen Onayı Gerekli","Doğrudan (eşik altı)"))</f>
        <v/>
      </c>
      <c r="H33" s="8" t="n"/>
      <c r="I33" s="7" t="n"/>
      <c r="J33" s="7" t="n"/>
      <c r="K33" s="7" t="n"/>
      <c r="L33" s="7" t="n"/>
      <c r="M33" s="7" t="n"/>
      <c r="N33" s="8" t="n"/>
      <c r="O33" s="7" t="n"/>
      <c r="P33" s="7" t="n"/>
    </row>
    <row r="34" ht="22" customHeight="1">
      <c r="A34" s="7" t="n"/>
      <c r="B34" s="7" t="n"/>
      <c r="C34" s="7" t="n"/>
      <c r="D34" s="12" t="n"/>
      <c r="E34" s="7" t="n"/>
      <c r="F34" s="13">
        <f>IFERROR(VLOOKUP(E34,Listeler!$E$3:$F$5,2,FALSE),"")</f>
        <v/>
      </c>
      <c r="G34" s="10">
        <f>IF(OR(D34="",E34=""),"",IF(D34&gt;F34,"Arşen Onayı Gerekli","Doğrudan (eşik altı)"))</f>
        <v/>
      </c>
      <c r="H34" s="8" t="n"/>
      <c r="I34" s="7" t="n"/>
      <c r="J34" s="7" t="n"/>
      <c r="K34" s="7" t="n"/>
      <c r="L34" s="7" t="n"/>
      <c r="M34" s="7" t="n"/>
      <c r="N34" s="8" t="n"/>
      <c r="O34" s="7" t="n"/>
      <c r="P34" s="7" t="n"/>
    </row>
    <row r="35" ht="22" customHeight="1">
      <c r="A35" s="7" t="n"/>
      <c r="B35" s="7" t="n"/>
      <c r="C35" s="7" t="n"/>
      <c r="D35" s="12" t="n"/>
      <c r="E35" s="7" t="n"/>
      <c r="F35" s="13">
        <f>IFERROR(VLOOKUP(E35,Listeler!$E$3:$F$5,2,FALSE),"")</f>
        <v/>
      </c>
      <c r="G35" s="10">
        <f>IF(OR(D35="",E35=""),"",IF(D35&gt;F35,"Arşen Onayı Gerekli","Doğrudan (eşik altı)"))</f>
        <v/>
      </c>
      <c r="H35" s="8" t="n"/>
      <c r="I35" s="7" t="n"/>
      <c r="J35" s="7" t="n"/>
      <c r="K35" s="7" t="n"/>
      <c r="L35" s="7" t="n"/>
      <c r="M35" s="7" t="n"/>
      <c r="N35" s="8" t="n"/>
      <c r="O35" s="7" t="n"/>
      <c r="P35" s="7" t="n"/>
    </row>
    <row r="36" ht="22" customHeight="1">
      <c r="A36" s="7" t="n"/>
      <c r="B36" s="7" t="n"/>
      <c r="C36" s="7" t="n"/>
      <c r="D36" s="12" t="n"/>
      <c r="E36" s="7" t="n"/>
      <c r="F36" s="13">
        <f>IFERROR(VLOOKUP(E36,Listeler!$E$3:$F$5,2,FALSE),"")</f>
        <v/>
      </c>
      <c r="G36" s="10">
        <f>IF(OR(D36="",E36=""),"",IF(D36&gt;F36,"Arşen Onayı Gerekli","Doğrudan (eşik altı)"))</f>
        <v/>
      </c>
      <c r="H36" s="8" t="n"/>
      <c r="I36" s="7" t="n"/>
      <c r="J36" s="7" t="n"/>
      <c r="K36" s="7" t="n"/>
      <c r="L36" s="7" t="n"/>
      <c r="M36" s="7" t="n"/>
      <c r="N36" s="8" t="n"/>
      <c r="O36" s="7" t="n"/>
      <c r="P36" s="7" t="n"/>
    </row>
    <row r="37" ht="22" customHeight="1">
      <c r="A37" s="7" t="n"/>
      <c r="B37" s="7" t="n"/>
      <c r="C37" s="7" t="n"/>
      <c r="D37" s="12" t="n"/>
      <c r="E37" s="7" t="n"/>
      <c r="F37" s="13">
        <f>IFERROR(VLOOKUP(E37,Listeler!$E$3:$F$5,2,FALSE),"")</f>
        <v/>
      </c>
      <c r="G37" s="10">
        <f>IF(OR(D37="",E37=""),"",IF(D37&gt;F37,"Arşen Onayı Gerekli","Doğrudan (eşik altı)"))</f>
        <v/>
      </c>
      <c r="H37" s="8" t="n"/>
      <c r="I37" s="7" t="n"/>
      <c r="J37" s="7" t="n"/>
      <c r="K37" s="7" t="n"/>
      <c r="L37" s="7" t="n"/>
      <c r="M37" s="7" t="n"/>
      <c r="N37" s="8" t="n"/>
      <c r="O37" s="7" t="n"/>
      <c r="P37" s="7" t="n"/>
    </row>
    <row r="38" ht="22" customHeight="1">
      <c r="A38" s="7" t="n"/>
      <c r="B38" s="7" t="n"/>
      <c r="C38" s="7" t="n"/>
      <c r="D38" s="12" t="n"/>
      <c r="E38" s="7" t="n"/>
      <c r="F38" s="13">
        <f>IFERROR(VLOOKUP(E38,Listeler!$E$3:$F$5,2,FALSE),"")</f>
        <v/>
      </c>
      <c r="G38" s="10">
        <f>IF(OR(D38="",E38=""),"",IF(D38&gt;F38,"Arşen Onayı Gerekli","Doğrudan (eşik altı)"))</f>
        <v/>
      </c>
      <c r="H38" s="8" t="n"/>
      <c r="I38" s="7" t="n"/>
      <c r="J38" s="7" t="n"/>
      <c r="K38" s="7" t="n"/>
      <c r="L38" s="7" t="n"/>
      <c r="M38" s="7" t="n"/>
      <c r="N38" s="8" t="n"/>
      <c r="O38" s="7" t="n"/>
      <c r="P38" s="7" t="n"/>
    </row>
    <row r="39" ht="22" customHeight="1">
      <c r="A39" s="7" t="n"/>
      <c r="B39" s="7" t="n"/>
      <c r="C39" s="7" t="n"/>
      <c r="D39" s="12" t="n"/>
      <c r="E39" s="7" t="n"/>
      <c r="F39" s="13">
        <f>IFERROR(VLOOKUP(E39,Listeler!$E$3:$F$5,2,FALSE),"")</f>
        <v/>
      </c>
      <c r="G39" s="10">
        <f>IF(OR(D39="",E39=""),"",IF(D39&gt;F39,"Arşen Onayı Gerekli","Doğrudan (eşik altı)"))</f>
        <v/>
      </c>
      <c r="H39" s="8" t="n"/>
      <c r="I39" s="7" t="n"/>
      <c r="J39" s="7" t="n"/>
      <c r="K39" s="7" t="n"/>
      <c r="L39" s="7" t="n"/>
      <c r="M39" s="7" t="n"/>
      <c r="N39" s="8" t="n"/>
      <c r="O39" s="7" t="n"/>
      <c r="P39" s="7" t="n"/>
    </row>
    <row r="40" ht="22" customHeight="1">
      <c r="A40" s="7" t="n"/>
      <c r="B40" s="7" t="n"/>
      <c r="C40" s="7" t="n"/>
      <c r="D40" s="12" t="n"/>
      <c r="E40" s="7" t="n"/>
      <c r="F40" s="13">
        <f>IFERROR(VLOOKUP(E40,Listeler!$E$3:$F$5,2,FALSE),"")</f>
        <v/>
      </c>
      <c r="G40" s="10">
        <f>IF(OR(D40="",E40=""),"",IF(D40&gt;F40,"Arşen Onayı Gerekli","Doğrudan (eşik altı)"))</f>
        <v/>
      </c>
      <c r="H40" s="8" t="n"/>
      <c r="I40" s="7" t="n"/>
      <c r="J40" s="7" t="n"/>
      <c r="K40" s="7" t="n"/>
      <c r="L40" s="7" t="n"/>
      <c r="M40" s="7" t="n"/>
      <c r="N40" s="8" t="n"/>
      <c r="O40" s="7" t="n"/>
      <c r="P40" s="7" t="n"/>
    </row>
    <row r="41" ht="22" customHeight="1">
      <c r="A41" s="7" t="n"/>
      <c r="B41" s="7" t="n"/>
      <c r="C41" s="7" t="n"/>
      <c r="D41" s="12" t="n"/>
      <c r="E41" s="7" t="n"/>
      <c r="F41" s="13">
        <f>IFERROR(VLOOKUP(E41,Listeler!$E$3:$F$5,2,FALSE),"")</f>
        <v/>
      </c>
      <c r="G41" s="10">
        <f>IF(OR(D41="",E41=""),"",IF(D41&gt;F41,"Arşen Onayı Gerekli","Doğrudan (eşik altı)"))</f>
        <v/>
      </c>
      <c r="H41" s="8" t="n"/>
      <c r="I41" s="7" t="n"/>
      <c r="J41" s="7" t="n"/>
      <c r="K41" s="7" t="n"/>
      <c r="L41" s="7" t="n"/>
      <c r="M41" s="7" t="n"/>
      <c r="N41" s="8" t="n"/>
      <c r="O41" s="7" t="n"/>
      <c r="P41" s="7" t="n"/>
    </row>
    <row r="42" ht="22" customHeight="1">
      <c r="A42" s="7" t="n"/>
      <c r="B42" s="7" t="n"/>
      <c r="C42" s="7" t="n"/>
      <c r="D42" s="12" t="n"/>
      <c r="E42" s="7" t="n"/>
      <c r="F42" s="13">
        <f>IFERROR(VLOOKUP(E42,Listeler!$E$3:$F$5,2,FALSE),"")</f>
        <v/>
      </c>
      <c r="G42" s="10">
        <f>IF(OR(D42="",E42=""),"",IF(D42&gt;F42,"Arşen Onayı Gerekli","Doğrudan (eşik altı)"))</f>
        <v/>
      </c>
      <c r="H42" s="8" t="n"/>
      <c r="I42" s="7" t="n"/>
      <c r="J42" s="7" t="n"/>
      <c r="K42" s="7" t="n"/>
      <c r="L42" s="7" t="n"/>
      <c r="M42" s="7" t="n"/>
      <c r="N42" s="8" t="n"/>
      <c r="O42" s="7" t="n"/>
      <c r="P42" s="7" t="n"/>
    </row>
    <row r="43" ht="22" customHeight="1">
      <c r="A43" s="7" t="n"/>
      <c r="B43" s="7" t="n"/>
      <c r="C43" s="7" t="n"/>
      <c r="D43" s="12" t="n"/>
      <c r="E43" s="7" t="n"/>
      <c r="F43" s="13">
        <f>IFERROR(VLOOKUP(E43,Listeler!$E$3:$F$5,2,FALSE),"")</f>
        <v/>
      </c>
      <c r="G43" s="10">
        <f>IF(OR(D43="",E43=""),"",IF(D43&gt;F43,"Arşen Onayı Gerekli","Doğrudan (eşik altı)"))</f>
        <v/>
      </c>
      <c r="H43" s="8" t="n"/>
      <c r="I43" s="7" t="n"/>
      <c r="J43" s="7" t="n"/>
      <c r="K43" s="7" t="n"/>
      <c r="L43" s="7" t="n"/>
      <c r="M43" s="7" t="n"/>
      <c r="N43" s="8" t="n"/>
      <c r="O43" s="7" t="n"/>
      <c r="P43" s="7" t="n"/>
    </row>
    <row r="44" ht="22" customHeight="1">
      <c r="A44" s="7" t="n"/>
      <c r="B44" s="7" t="n"/>
      <c r="C44" s="7" t="n"/>
      <c r="D44" s="12" t="n"/>
      <c r="E44" s="7" t="n"/>
      <c r="F44" s="13">
        <f>IFERROR(VLOOKUP(E44,Listeler!$E$3:$F$5,2,FALSE),"")</f>
        <v/>
      </c>
      <c r="G44" s="10">
        <f>IF(OR(D44="",E44=""),"",IF(D44&gt;F44,"Arşen Onayı Gerekli","Doğrudan (eşik altı)"))</f>
        <v/>
      </c>
      <c r="H44" s="8" t="n"/>
      <c r="I44" s="7" t="n"/>
      <c r="J44" s="7" t="n"/>
      <c r="K44" s="7" t="n"/>
      <c r="L44" s="7" t="n"/>
      <c r="M44" s="7" t="n"/>
      <c r="N44" s="8" t="n"/>
      <c r="O44" s="7" t="n"/>
      <c r="P44" s="7" t="n"/>
    </row>
    <row r="45" ht="22" customHeight="1">
      <c r="A45" s="7" t="n"/>
      <c r="B45" s="7" t="n"/>
      <c r="C45" s="7" t="n"/>
      <c r="D45" s="12" t="n"/>
      <c r="E45" s="7" t="n"/>
      <c r="F45" s="13">
        <f>IFERROR(VLOOKUP(E45,Listeler!$E$3:$F$5,2,FALSE),"")</f>
        <v/>
      </c>
      <c r="G45" s="10">
        <f>IF(OR(D45="",E45=""),"",IF(D45&gt;F45,"Arşen Onayı Gerekli","Doğrudan (eşik altı)"))</f>
        <v/>
      </c>
      <c r="H45" s="8" t="n"/>
      <c r="I45" s="7" t="n"/>
      <c r="J45" s="7" t="n"/>
      <c r="K45" s="7" t="n"/>
      <c r="L45" s="7" t="n"/>
      <c r="M45" s="7" t="n"/>
      <c r="N45" s="8" t="n"/>
      <c r="O45" s="7" t="n"/>
      <c r="P45" s="7" t="n"/>
    </row>
    <row r="46" ht="22" customHeight="1">
      <c r="A46" s="7" t="n"/>
      <c r="B46" s="7" t="n"/>
      <c r="C46" s="7" t="n"/>
      <c r="D46" s="12" t="n"/>
      <c r="E46" s="7" t="n"/>
      <c r="F46" s="13">
        <f>IFERROR(VLOOKUP(E46,Listeler!$E$3:$F$5,2,FALSE),"")</f>
        <v/>
      </c>
      <c r="G46" s="10">
        <f>IF(OR(D46="",E46=""),"",IF(D46&gt;F46,"Arşen Onayı Gerekli","Doğrudan (eşik altı)"))</f>
        <v/>
      </c>
      <c r="H46" s="8" t="n"/>
      <c r="I46" s="7" t="n"/>
      <c r="J46" s="7" t="n"/>
      <c r="K46" s="7" t="n"/>
      <c r="L46" s="7" t="n"/>
      <c r="M46" s="7" t="n"/>
      <c r="N46" s="8" t="n"/>
      <c r="O46" s="7" t="n"/>
      <c r="P46" s="7" t="n"/>
    </row>
    <row r="47" ht="22" customHeight="1">
      <c r="A47" s="7" t="n"/>
      <c r="B47" s="7" t="n"/>
      <c r="C47" s="7" t="n"/>
      <c r="D47" s="12" t="n"/>
      <c r="E47" s="7" t="n"/>
      <c r="F47" s="13">
        <f>IFERROR(VLOOKUP(E47,Listeler!$E$3:$F$5,2,FALSE),"")</f>
        <v/>
      </c>
      <c r="G47" s="10">
        <f>IF(OR(D47="",E47=""),"",IF(D47&gt;F47,"Arşen Onayı Gerekli","Doğrudan (eşik altı)"))</f>
        <v/>
      </c>
      <c r="H47" s="8" t="n"/>
      <c r="I47" s="7" t="n"/>
      <c r="J47" s="7" t="n"/>
      <c r="K47" s="7" t="n"/>
      <c r="L47" s="7" t="n"/>
      <c r="M47" s="7" t="n"/>
      <c r="N47" s="8" t="n"/>
      <c r="O47" s="7" t="n"/>
      <c r="P47" s="7" t="n"/>
    </row>
    <row r="48" ht="22" customHeight="1">
      <c r="A48" s="7" t="n"/>
      <c r="B48" s="7" t="n"/>
      <c r="C48" s="7" t="n"/>
      <c r="D48" s="12" t="n"/>
      <c r="E48" s="7" t="n"/>
      <c r="F48" s="13">
        <f>IFERROR(VLOOKUP(E48,Listeler!$E$3:$F$5,2,FALSE),"")</f>
        <v/>
      </c>
      <c r="G48" s="10">
        <f>IF(OR(D48="",E48=""),"",IF(D48&gt;F48,"Arşen Onayı Gerekli","Doğrudan (eşik altı)"))</f>
        <v/>
      </c>
      <c r="H48" s="8" t="n"/>
      <c r="I48" s="7" t="n"/>
      <c r="J48" s="7" t="n"/>
      <c r="K48" s="7" t="n"/>
      <c r="L48" s="7" t="n"/>
      <c r="M48" s="7" t="n"/>
      <c r="N48" s="8" t="n"/>
      <c r="O48" s="7" t="n"/>
      <c r="P48" s="7" t="n"/>
    </row>
    <row r="49" ht="22" customHeight="1">
      <c r="A49" s="7" t="n"/>
      <c r="B49" s="7" t="n"/>
      <c r="C49" s="7" t="n"/>
      <c r="D49" s="12" t="n"/>
      <c r="E49" s="7" t="n"/>
      <c r="F49" s="13">
        <f>IFERROR(VLOOKUP(E49,Listeler!$E$3:$F$5,2,FALSE),"")</f>
        <v/>
      </c>
      <c r="G49" s="10">
        <f>IF(OR(D49="",E49=""),"",IF(D49&gt;F49,"Arşen Onayı Gerekli","Doğrudan (eşik altı)"))</f>
        <v/>
      </c>
      <c r="H49" s="8" t="n"/>
      <c r="I49" s="7" t="n"/>
      <c r="J49" s="7" t="n"/>
      <c r="K49" s="7" t="n"/>
      <c r="L49" s="7" t="n"/>
      <c r="M49" s="7" t="n"/>
      <c r="N49" s="8" t="n"/>
      <c r="O49" s="7" t="n"/>
      <c r="P49" s="7" t="n"/>
    </row>
    <row r="50" ht="22" customHeight="1">
      <c r="A50" s="7" t="n"/>
      <c r="B50" s="7" t="n"/>
      <c r="C50" s="7" t="n"/>
      <c r="D50" s="12" t="n"/>
      <c r="E50" s="7" t="n"/>
      <c r="F50" s="13">
        <f>IFERROR(VLOOKUP(E50,Listeler!$E$3:$F$5,2,FALSE),"")</f>
        <v/>
      </c>
      <c r="G50" s="10">
        <f>IF(OR(D50="",E50=""),"",IF(D50&gt;F50,"Arşen Onayı Gerekli","Doğrudan (eşik altı)"))</f>
        <v/>
      </c>
      <c r="H50" s="8" t="n"/>
      <c r="I50" s="7" t="n"/>
      <c r="J50" s="7" t="n"/>
      <c r="K50" s="7" t="n"/>
      <c r="L50" s="7" t="n"/>
      <c r="M50" s="7" t="n"/>
      <c r="N50" s="8" t="n"/>
      <c r="O50" s="7" t="n"/>
      <c r="P50" s="7" t="n"/>
    </row>
    <row r="51" ht="22" customHeight="1">
      <c r="A51" s="7" t="n"/>
      <c r="B51" s="7" t="n"/>
      <c r="C51" s="7" t="n"/>
      <c r="D51" s="12" t="n"/>
      <c r="E51" s="7" t="n"/>
      <c r="F51" s="13">
        <f>IFERROR(VLOOKUP(E51,Listeler!$E$3:$F$5,2,FALSE),"")</f>
        <v/>
      </c>
      <c r="G51" s="10">
        <f>IF(OR(D51="",E51=""),"",IF(D51&gt;F51,"Arşen Onayı Gerekli","Doğrudan (eşik altı)"))</f>
        <v/>
      </c>
      <c r="H51" s="8" t="n"/>
      <c r="I51" s="7" t="n"/>
      <c r="J51" s="7" t="n"/>
      <c r="K51" s="7" t="n"/>
      <c r="L51" s="7" t="n"/>
      <c r="M51" s="7" t="n"/>
      <c r="N51" s="8" t="n"/>
      <c r="O51" s="7" t="n"/>
      <c r="P51" s="7" t="n"/>
    </row>
    <row r="52" ht="22" customHeight="1">
      <c r="A52" s="7" t="n"/>
      <c r="B52" s="7" t="n"/>
      <c r="C52" s="7" t="n"/>
      <c r="D52" s="12" t="n"/>
      <c r="E52" s="7" t="n"/>
      <c r="F52" s="13">
        <f>IFERROR(VLOOKUP(E52,Listeler!$E$3:$F$5,2,FALSE),"")</f>
        <v/>
      </c>
      <c r="G52" s="10">
        <f>IF(OR(D52="",E52=""),"",IF(D52&gt;F52,"Arşen Onayı Gerekli","Doğrudan (eşik altı)"))</f>
        <v/>
      </c>
      <c r="H52" s="8" t="n"/>
      <c r="I52" s="7" t="n"/>
      <c r="J52" s="7" t="n"/>
      <c r="K52" s="7" t="n"/>
      <c r="L52" s="7" t="n"/>
      <c r="M52" s="7" t="n"/>
      <c r="N52" s="8" t="n"/>
      <c r="O52" s="7" t="n"/>
      <c r="P52" s="7" t="n"/>
    </row>
    <row r="53" ht="22" customHeight="1">
      <c r="A53" s="7" t="n"/>
      <c r="B53" s="7" t="n"/>
      <c r="C53" s="7" t="n"/>
      <c r="D53" s="12" t="n"/>
      <c r="E53" s="7" t="n"/>
      <c r="F53" s="13">
        <f>IFERROR(VLOOKUP(E53,Listeler!$E$3:$F$5,2,FALSE),"")</f>
        <v/>
      </c>
      <c r="G53" s="10">
        <f>IF(OR(D53="",E53=""),"",IF(D53&gt;F53,"Arşen Onayı Gerekli","Doğrudan (eşik altı)"))</f>
        <v/>
      </c>
      <c r="H53" s="8" t="n"/>
      <c r="I53" s="7" t="n"/>
      <c r="J53" s="7" t="n"/>
      <c r="K53" s="7" t="n"/>
      <c r="L53" s="7" t="n"/>
      <c r="M53" s="7" t="n"/>
      <c r="N53" s="8" t="n"/>
      <c r="O53" s="7" t="n"/>
      <c r="P53" s="7" t="n"/>
    </row>
    <row r="54" ht="22" customHeight="1">
      <c r="A54" s="7" t="n"/>
      <c r="B54" s="7" t="n"/>
      <c r="C54" s="7" t="n"/>
      <c r="D54" s="12" t="n"/>
      <c r="E54" s="7" t="n"/>
      <c r="F54" s="13">
        <f>IFERROR(VLOOKUP(E54,Listeler!$E$3:$F$5,2,FALSE),"")</f>
        <v/>
      </c>
      <c r="G54" s="10">
        <f>IF(OR(D54="",E54=""),"",IF(D54&gt;F54,"Arşen Onayı Gerekli","Doğrudan (eşik altı)"))</f>
        <v/>
      </c>
      <c r="H54" s="8" t="n"/>
      <c r="I54" s="7" t="n"/>
      <c r="J54" s="7" t="n"/>
      <c r="K54" s="7" t="n"/>
      <c r="L54" s="7" t="n"/>
      <c r="M54" s="7" t="n"/>
      <c r="N54" s="8" t="n"/>
      <c r="O54" s="7" t="n"/>
      <c r="P54" s="7" t="n"/>
    </row>
    <row r="55" ht="22" customHeight="1">
      <c r="A55" s="7" t="n"/>
      <c r="B55" s="7" t="n"/>
      <c r="C55" s="7" t="n"/>
      <c r="D55" s="12" t="n"/>
      <c r="E55" s="7" t="n"/>
      <c r="F55" s="13">
        <f>IFERROR(VLOOKUP(E55,Listeler!$E$3:$F$5,2,FALSE),"")</f>
        <v/>
      </c>
      <c r="G55" s="10">
        <f>IF(OR(D55="",E55=""),"",IF(D55&gt;F55,"Arşen Onayı Gerekli","Doğrudan (eşik altı)"))</f>
        <v/>
      </c>
      <c r="H55" s="8" t="n"/>
      <c r="I55" s="7" t="n"/>
      <c r="J55" s="7" t="n"/>
      <c r="K55" s="7" t="n"/>
      <c r="L55" s="7" t="n"/>
      <c r="M55" s="7" t="n"/>
      <c r="N55" s="8" t="n"/>
      <c r="O55" s="7" t="n"/>
      <c r="P55" s="7" t="n"/>
    </row>
    <row r="56" ht="22" customHeight="1">
      <c r="A56" s="7" t="n"/>
      <c r="B56" s="7" t="n"/>
      <c r="C56" s="7" t="n"/>
      <c r="D56" s="12" t="n"/>
      <c r="E56" s="7" t="n"/>
      <c r="F56" s="13">
        <f>IFERROR(VLOOKUP(E56,Listeler!$E$3:$F$5,2,FALSE),"")</f>
        <v/>
      </c>
      <c r="G56" s="10">
        <f>IF(OR(D56="",E56=""),"",IF(D56&gt;F56,"Arşen Onayı Gerekli","Doğrudan (eşik altı)"))</f>
        <v/>
      </c>
      <c r="H56" s="8" t="n"/>
      <c r="I56" s="7" t="n"/>
      <c r="J56" s="7" t="n"/>
      <c r="K56" s="7" t="n"/>
      <c r="L56" s="7" t="n"/>
      <c r="M56" s="7" t="n"/>
      <c r="N56" s="8" t="n"/>
      <c r="O56" s="7" t="n"/>
      <c r="P56" s="7" t="n"/>
    </row>
    <row r="57" ht="22" customHeight="1">
      <c r="A57" s="7" t="n"/>
      <c r="B57" s="7" t="n"/>
      <c r="C57" s="7" t="n"/>
      <c r="D57" s="12" t="n"/>
      <c r="E57" s="7" t="n"/>
      <c r="F57" s="13">
        <f>IFERROR(VLOOKUP(E57,Listeler!$E$3:$F$5,2,FALSE),"")</f>
        <v/>
      </c>
      <c r="G57" s="10">
        <f>IF(OR(D57="",E57=""),"",IF(D57&gt;F57,"Arşen Onayı Gerekli","Doğrudan (eşik altı)"))</f>
        <v/>
      </c>
      <c r="H57" s="8" t="n"/>
      <c r="I57" s="7" t="n"/>
      <c r="J57" s="7" t="n"/>
      <c r="K57" s="7" t="n"/>
      <c r="L57" s="7" t="n"/>
      <c r="M57" s="7" t="n"/>
      <c r="N57" s="8" t="n"/>
      <c r="O57" s="7" t="n"/>
      <c r="P57" s="7" t="n"/>
    </row>
    <row r="58" ht="22" customHeight="1">
      <c r="A58" s="7" t="n"/>
      <c r="B58" s="7" t="n"/>
      <c r="C58" s="7" t="n"/>
      <c r="D58" s="12" t="n"/>
      <c r="E58" s="7" t="n"/>
      <c r="F58" s="13">
        <f>IFERROR(VLOOKUP(E58,Listeler!$E$3:$F$5,2,FALSE),"")</f>
        <v/>
      </c>
      <c r="G58" s="10">
        <f>IF(OR(D58="",E58=""),"",IF(D58&gt;F58,"Arşen Onayı Gerekli","Doğrudan (eşik altı)"))</f>
        <v/>
      </c>
      <c r="H58" s="8" t="n"/>
      <c r="I58" s="7" t="n"/>
      <c r="J58" s="7" t="n"/>
      <c r="K58" s="7" t="n"/>
      <c r="L58" s="7" t="n"/>
      <c r="M58" s="7" t="n"/>
      <c r="N58" s="8" t="n"/>
      <c r="O58" s="7" t="n"/>
      <c r="P58" s="7" t="n"/>
    </row>
    <row r="59" ht="22" customHeight="1">
      <c r="A59" s="7" t="n"/>
      <c r="B59" s="7" t="n"/>
      <c r="C59" s="7" t="n"/>
      <c r="D59" s="12" t="n"/>
      <c r="E59" s="7" t="n"/>
      <c r="F59" s="13">
        <f>IFERROR(VLOOKUP(E59,Listeler!$E$3:$F$5,2,FALSE),"")</f>
        <v/>
      </c>
      <c r="G59" s="10">
        <f>IF(OR(D59="",E59=""),"",IF(D59&gt;F59,"Arşen Onayı Gerekli","Doğrudan (eşik altı)"))</f>
        <v/>
      </c>
      <c r="H59" s="8" t="n"/>
      <c r="I59" s="7" t="n"/>
      <c r="J59" s="7" t="n"/>
      <c r="K59" s="7" t="n"/>
      <c r="L59" s="7" t="n"/>
      <c r="M59" s="7" t="n"/>
      <c r="N59" s="8" t="n"/>
      <c r="O59" s="7" t="n"/>
      <c r="P59" s="7" t="n"/>
    </row>
    <row r="60" ht="22" customHeight="1">
      <c r="A60" s="7" t="n"/>
      <c r="B60" s="7" t="n"/>
      <c r="C60" s="7" t="n"/>
      <c r="D60" s="12" t="n"/>
      <c r="E60" s="7" t="n"/>
      <c r="F60" s="13">
        <f>IFERROR(VLOOKUP(E60,Listeler!$E$3:$F$5,2,FALSE),"")</f>
        <v/>
      </c>
      <c r="G60" s="10">
        <f>IF(OR(D60="",E60=""),"",IF(D60&gt;F60,"Arşen Onayı Gerekli","Doğrudan (eşik altı)"))</f>
        <v/>
      </c>
      <c r="H60" s="8" t="n"/>
      <c r="I60" s="7" t="n"/>
      <c r="J60" s="7" t="n"/>
      <c r="K60" s="7" t="n"/>
      <c r="L60" s="7" t="n"/>
      <c r="M60" s="7" t="n"/>
      <c r="N60" s="8" t="n"/>
      <c r="O60" s="7" t="n"/>
      <c r="P60" s="7" t="n"/>
    </row>
    <row r="61" ht="22" customHeight="1">
      <c r="A61" s="7" t="n"/>
      <c r="B61" s="7" t="n"/>
      <c r="C61" s="7" t="n"/>
      <c r="D61" s="12" t="n"/>
      <c r="E61" s="7" t="n"/>
      <c r="F61" s="13">
        <f>IFERROR(VLOOKUP(E61,Listeler!$E$3:$F$5,2,FALSE),"")</f>
        <v/>
      </c>
      <c r="G61" s="10">
        <f>IF(OR(D61="",E61=""),"",IF(D61&gt;F61,"Arşen Onayı Gerekli","Doğrudan (eşik altı)"))</f>
        <v/>
      </c>
      <c r="H61" s="8" t="n"/>
      <c r="I61" s="7" t="n"/>
      <c r="J61" s="7" t="n"/>
      <c r="K61" s="7" t="n"/>
      <c r="L61" s="7" t="n"/>
      <c r="M61" s="7" t="n"/>
      <c r="N61" s="8" t="n"/>
      <c r="O61" s="7" t="n"/>
      <c r="P61" s="7" t="n"/>
    </row>
    <row r="62" ht="22" customHeight="1">
      <c r="A62" s="7" t="n"/>
      <c r="B62" s="7" t="n"/>
      <c r="C62" s="7" t="n"/>
      <c r="D62" s="12" t="n"/>
      <c r="E62" s="7" t="n"/>
      <c r="F62" s="13">
        <f>IFERROR(VLOOKUP(E62,Listeler!$E$3:$F$5,2,FALSE),"")</f>
        <v/>
      </c>
      <c r="G62" s="10">
        <f>IF(OR(D62="",E62=""),"",IF(D62&gt;F62,"Arşen Onayı Gerekli","Doğrudan (eşik altı)"))</f>
        <v/>
      </c>
      <c r="H62" s="8" t="n"/>
      <c r="I62" s="7" t="n"/>
      <c r="J62" s="7" t="n"/>
      <c r="K62" s="7" t="n"/>
      <c r="L62" s="7" t="n"/>
      <c r="M62" s="7" t="n"/>
      <c r="N62" s="8" t="n"/>
      <c r="O62" s="7" t="n"/>
      <c r="P62" s="7" t="n"/>
    </row>
    <row r="63" ht="22" customHeight="1">
      <c r="A63" s="7" t="n"/>
      <c r="B63" s="7" t="n"/>
      <c r="C63" s="7" t="n"/>
      <c r="D63" s="12" t="n"/>
      <c r="E63" s="7" t="n"/>
      <c r="F63" s="13">
        <f>IFERROR(VLOOKUP(E63,Listeler!$E$3:$F$5,2,FALSE),"")</f>
        <v/>
      </c>
      <c r="G63" s="10">
        <f>IF(OR(D63="",E63=""),"",IF(D63&gt;F63,"Arşen Onayı Gerekli","Doğrudan (eşik altı)"))</f>
        <v/>
      </c>
      <c r="H63" s="8" t="n"/>
      <c r="I63" s="7" t="n"/>
      <c r="J63" s="7" t="n"/>
      <c r="K63" s="7" t="n"/>
      <c r="L63" s="7" t="n"/>
      <c r="M63" s="7" t="n"/>
      <c r="N63" s="8" t="n"/>
      <c r="O63" s="7" t="n"/>
      <c r="P63" s="7" t="n"/>
    </row>
    <row r="64" ht="22" customHeight="1">
      <c r="A64" s="7" t="n"/>
      <c r="B64" s="7" t="n"/>
      <c r="C64" s="7" t="n"/>
      <c r="D64" s="12" t="n"/>
      <c r="E64" s="7" t="n"/>
      <c r="F64" s="13">
        <f>IFERROR(VLOOKUP(E64,Listeler!$E$3:$F$5,2,FALSE),"")</f>
        <v/>
      </c>
      <c r="G64" s="10">
        <f>IF(OR(D64="",E64=""),"",IF(D64&gt;F64,"Arşen Onayı Gerekli","Doğrudan (eşik altı)"))</f>
        <v/>
      </c>
      <c r="H64" s="8" t="n"/>
      <c r="I64" s="7" t="n"/>
      <c r="J64" s="7" t="n"/>
      <c r="K64" s="7" t="n"/>
      <c r="L64" s="7" t="n"/>
      <c r="M64" s="7" t="n"/>
      <c r="N64" s="8" t="n"/>
      <c r="O64" s="7" t="n"/>
      <c r="P64" s="7" t="n"/>
    </row>
    <row r="65" ht="22" customHeight="1">
      <c r="A65" s="7" t="n"/>
      <c r="B65" s="7" t="n"/>
      <c r="C65" s="7" t="n"/>
      <c r="D65" s="12" t="n"/>
      <c r="E65" s="7" t="n"/>
      <c r="F65" s="13">
        <f>IFERROR(VLOOKUP(E65,Listeler!$E$3:$F$5,2,FALSE),"")</f>
        <v/>
      </c>
      <c r="G65" s="10">
        <f>IF(OR(D65="",E65=""),"",IF(D65&gt;F65,"Arşen Onayı Gerekli","Doğrudan (eşik altı)"))</f>
        <v/>
      </c>
      <c r="H65" s="8" t="n"/>
      <c r="I65" s="7" t="n"/>
      <c r="J65" s="7" t="n"/>
      <c r="K65" s="7" t="n"/>
      <c r="L65" s="7" t="n"/>
      <c r="M65" s="7" t="n"/>
      <c r="N65" s="8" t="n"/>
      <c r="O65" s="7" t="n"/>
      <c r="P65" s="7" t="n"/>
    </row>
    <row r="66" ht="22" customHeight="1">
      <c r="A66" s="7" t="n"/>
      <c r="B66" s="7" t="n"/>
      <c r="C66" s="7" t="n"/>
      <c r="D66" s="12" t="n"/>
      <c r="E66" s="7" t="n"/>
      <c r="F66" s="13">
        <f>IFERROR(VLOOKUP(E66,Listeler!$E$3:$F$5,2,FALSE),"")</f>
        <v/>
      </c>
      <c r="G66" s="10">
        <f>IF(OR(D66="",E66=""),"",IF(D66&gt;F66,"Arşen Onayı Gerekli","Doğrudan (eşik altı)"))</f>
        <v/>
      </c>
      <c r="H66" s="8" t="n"/>
      <c r="I66" s="7" t="n"/>
      <c r="J66" s="7" t="n"/>
      <c r="K66" s="7" t="n"/>
      <c r="L66" s="7" t="n"/>
      <c r="M66" s="7" t="n"/>
      <c r="N66" s="8" t="n"/>
      <c r="O66" s="7" t="n"/>
      <c r="P66" s="7" t="n"/>
    </row>
    <row r="67" ht="22" customHeight="1">
      <c r="A67" s="7" t="n"/>
      <c r="B67" s="7" t="n"/>
      <c r="C67" s="7" t="n"/>
      <c r="D67" s="12" t="n"/>
      <c r="E67" s="7" t="n"/>
      <c r="F67" s="13">
        <f>IFERROR(VLOOKUP(E67,Listeler!$E$3:$F$5,2,FALSE),"")</f>
        <v/>
      </c>
      <c r="G67" s="10">
        <f>IF(OR(D67="",E67=""),"",IF(D67&gt;F67,"Arşen Onayı Gerekli","Doğrudan (eşik altı)"))</f>
        <v/>
      </c>
      <c r="H67" s="8" t="n"/>
      <c r="I67" s="7" t="n"/>
      <c r="J67" s="7" t="n"/>
      <c r="K67" s="7" t="n"/>
      <c r="L67" s="7" t="n"/>
      <c r="M67" s="7" t="n"/>
      <c r="N67" s="8" t="n"/>
      <c r="O67" s="7" t="n"/>
      <c r="P67" s="7" t="n"/>
    </row>
    <row r="68" ht="22" customHeight="1">
      <c r="A68" s="7" t="n"/>
      <c r="B68" s="7" t="n"/>
      <c r="C68" s="7" t="n"/>
      <c r="D68" s="12" t="n"/>
      <c r="E68" s="7" t="n"/>
      <c r="F68" s="13">
        <f>IFERROR(VLOOKUP(E68,Listeler!$E$3:$F$5,2,FALSE),"")</f>
        <v/>
      </c>
      <c r="G68" s="10">
        <f>IF(OR(D68="",E68=""),"",IF(D68&gt;F68,"Arşen Onayı Gerekli","Doğrudan (eşik altı)"))</f>
        <v/>
      </c>
      <c r="H68" s="8" t="n"/>
      <c r="I68" s="7" t="n"/>
      <c r="J68" s="7" t="n"/>
      <c r="K68" s="7" t="n"/>
      <c r="L68" s="7" t="n"/>
      <c r="M68" s="7" t="n"/>
      <c r="N68" s="8" t="n"/>
      <c r="O68" s="7" t="n"/>
      <c r="P68" s="7" t="n"/>
    </row>
    <row r="69" ht="22" customHeight="1">
      <c r="A69" s="7" t="n"/>
      <c r="B69" s="7" t="n"/>
      <c r="C69" s="7" t="n"/>
      <c r="D69" s="12" t="n"/>
      <c r="E69" s="7" t="n"/>
      <c r="F69" s="13">
        <f>IFERROR(VLOOKUP(E69,Listeler!$E$3:$F$5,2,FALSE),"")</f>
        <v/>
      </c>
      <c r="G69" s="10">
        <f>IF(OR(D69="",E69=""),"",IF(D69&gt;F69,"Arşen Onayı Gerekli","Doğrudan (eşik altı)"))</f>
        <v/>
      </c>
      <c r="H69" s="8" t="n"/>
      <c r="I69" s="7" t="n"/>
      <c r="J69" s="7" t="n"/>
      <c r="K69" s="7" t="n"/>
      <c r="L69" s="7" t="n"/>
      <c r="M69" s="7" t="n"/>
      <c r="N69" s="8" t="n"/>
      <c r="O69" s="7" t="n"/>
      <c r="P69" s="7" t="n"/>
    </row>
    <row r="70" ht="22" customHeight="1">
      <c r="A70" s="7" t="n"/>
      <c r="B70" s="7" t="n"/>
      <c r="C70" s="7" t="n"/>
      <c r="D70" s="12" t="n"/>
      <c r="E70" s="7" t="n"/>
      <c r="F70" s="13">
        <f>IFERROR(VLOOKUP(E70,Listeler!$E$3:$F$5,2,FALSE),"")</f>
        <v/>
      </c>
      <c r="G70" s="10">
        <f>IF(OR(D70="",E70=""),"",IF(D70&gt;F70,"Arşen Onayı Gerekli","Doğrudan (eşik altı)"))</f>
        <v/>
      </c>
      <c r="H70" s="8" t="n"/>
      <c r="I70" s="7" t="n"/>
      <c r="J70" s="7" t="n"/>
      <c r="K70" s="7" t="n"/>
      <c r="L70" s="7" t="n"/>
      <c r="M70" s="7" t="n"/>
      <c r="N70" s="8" t="n"/>
      <c r="O70" s="7" t="n"/>
      <c r="P70" s="7" t="n"/>
    </row>
    <row r="71" ht="22" customHeight="1">
      <c r="A71" s="7" t="n"/>
      <c r="B71" s="7" t="n"/>
      <c r="C71" s="7" t="n"/>
      <c r="D71" s="12" t="n"/>
      <c r="E71" s="7" t="n"/>
      <c r="F71" s="13">
        <f>IFERROR(VLOOKUP(E71,Listeler!$E$3:$F$5,2,FALSE),"")</f>
        <v/>
      </c>
      <c r="G71" s="10">
        <f>IF(OR(D71="",E71=""),"",IF(D71&gt;F71,"Arşen Onayı Gerekli","Doğrudan (eşik altı)"))</f>
        <v/>
      </c>
      <c r="H71" s="8" t="n"/>
      <c r="I71" s="7" t="n"/>
      <c r="J71" s="7" t="n"/>
      <c r="K71" s="7" t="n"/>
      <c r="L71" s="7" t="n"/>
      <c r="M71" s="7" t="n"/>
      <c r="N71" s="8" t="n"/>
      <c r="O71" s="7" t="n"/>
      <c r="P71" s="7" t="n"/>
    </row>
    <row r="72" ht="22" customHeight="1">
      <c r="A72" s="7" t="n"/>
      <c r="B72" s="7" t="n"/>
      <c r="C72" s="7" t="n"/>
      <c r="D72" s="12" t="n"/>
      <c r="E72" s="7" t="n"/>
      <c r="F72" s="13">
        <f>IFERROR(VLOOKUP(E72,Listeler!$E$3:$F$5,2,FALSE),"")</f>
        <v/>
      </c>
      <c r="G72" s="10">
        <f>IF(OR(D72="",E72=""),"",IF(D72&gt;F72,"Arşen Onayı Gerekli","Doğrudan (eşik altı)"))</f>
        <v/>
      </c>
      <c r="H72" s="8" t="n"/>
      <c r="I72" s="7" t="n"/>
      <c r="J72" s="7" t="n"/>
      <c r="K72" s="7" t="n"/>
      <c r="L72" s="7" t="n"/>
      <c r="M72" s="7" t="n"/>
      <c r="N72" s="8" t="n"/>
      <c r="O72" s="7" t="n"/>
      <c r="P72" s="7" t="n"/>
    </row>
    <row r="73" ht="22" customHeight="1">
      <c r="A73" s="7" t="n"/>
      <c r="B73" s="7" t="n"/>
      <c r="C73" s="7" t="n"/>
      <c r="D73" s="12" t="n"/>
      <c r="E73" s="7" t="n"/>
      <c r="F73" s="13">
        <f>IFERROR(VLOOKUP(E73,Listeler!$E$3:$F$5,2,FALSE),"")</f>
        <v/>
      </c>
      <c r="G73" s="10">
        <f>IF(OR(D73="",E73=""),"",IF(D73&gt;F73,"Arşen Onayı Gerekli","Doğrudan (eşik altı)"))</f>
        <v/>
      </c>
      <c r="H73" s="8" t="n"/>
      <c r="I73" s="7" t="n"/>
      <c r="J73" s="7" t="n"/>
      <c r="K73" s="7" t="n"/>
      <c r="L73" s="7" t="n"/>
      <c r="M73" s="7" t="n"/>
      <c r="N73" s="8" t="n"/>
      <c r="O73" s="7" t="n"/>
      <c r="P73" s="7" t="n"/>
    </row>
    <row r="74" ht="22" customHeight="1">
      <c r="A74" s="7" t="n"/>
      <c r="B74" s="7" t="n"/>
      <c r="C74" s="7" t="n"/>
      <c r="D74" s="12" t="n"/>
      <c r="E74" s="7" t="n"/>
      <c r="F74" s="13">
        <f>IFERROR(VLOOKUP(E74,Listeler!$E$3:$F$5,2,FALSE),"")</f>
        <v/>
      </c>
      <c r="G74" s="10">
        <f>IF(OR(D74="",E74=""),"",IF(D74&gt;F74,"Arşen Onayı Gerekli","Doğrudan (eşik altı)"))</f>
        <v/>
      </c>
      <c r="H74" s="8" t="n"/>
      <c r="I74" s="7" t="n"/>
      <c r="J74" s="7" t="n"/>
      <c r="K74" s="7" t="n"/>
      <c r="L74" s="7" t="n"/>
      <c r="M74" s="7" t="n"/>
      <c r="N74" s="8" t="n"/>
      <c r="O74" s="7" t="n"/>
      <c r="P74" s="7" t="n"/>
    </row>
    <row r="75" ht="22" customHeight="1">
      <c r="A75" s="7" t="n"/>
      <c r="B75" s="7" t="n"/>
      <c r="C75" s="7" t="n"/>
      <c r="D75" s="12" t="n"/>
      <c r="E75" s="7" t="n"/>
      <c r="F75" s="13">
        <f>IFERROR(VLOOKUP(E75,Listeler!$E$3:$F$5,2,FALSE),"")</f>
        <v/>
      </c>
      <c r="G75" s="10">
        <f>IF(OR(D75="",E75=""),"",IF(D75&gt;F75,"Arşen Onayı Gerekli","Doğrudan (eşik altı)"))</f>
        <v/>
      </c>
      <c r="H75" s="8" t="n"/>
      <c r="I75" s="7" t="n"/>
      <c r="J75" s="7" t="n"/>
      <c r="K75" s="7" t="n"/>
      <c r="L75" s="7" t="n"/>
      <c r="M75" s="7" t="n"/>
      <c r="N75" s="8" t="n"/>
      <c r="O75" s="7" t="n"/>
      <c r="P75" s="7" t="n"/>
    </row>
    <row r="76" ht="22" customHeight="1">
      <c r="A76" s="7" t="n"/>
      <c r="B76" s="7" t="n"/>
      <c r="C76" s="7" t="n"/>
      <c r="D76" s="12" t="n"/>
      <c r="E76" s="7" t="n"/>
      <c r="F76" s="13">
        <f>IFERROR(VLOOKUP(E76,Listeler!$E$3:$F$5,2,FALSE),"")</f>
        <v/>
      </c>
      <c r="G76" s="10">
        <f>IF(OR(D76="",E76=""),"",IF(D76&gt;F76,"Arşen Onayı Gerekli","Doğrudan (eşik altı)"))</f>
        <v/>
      </c>
      <c r="H76" s="8" t="n"/>
      <c r="I76" s="7" t="n"/>
      <c r="J76" s="7" t="n"/>
      <c r="K76" s="7" t="n"/>
      <c r="L76" s="7" t="n"/>
      <c r="M76" s="7" t="n"/>
      <c r="N76" s="8" t="n"/>
      <c r="O76" s="7" t="n"/>
      <c r="P76" s="7" t="n"/>
    </row>
    <row r="77" ht="22" customHeight="1">
      <c r="A77" s="7" t="n"/>
      <c r="B77" s="7" t="n"/>
      <c r="C77" s="7" t="n"/>
      <c r="D77" s="12" t="n"/>
      <c r="E77" s="7" t="n"/>
      <c r="F77" s="13">
        <f>IFERROR(VLOOKUP(E77,Listeler!$E$3:$F$5,2,FALSE),"")</f>
        <v/>
      </c>
      <c r="G77" s="10">
        <f>IF(OR(D77="",E77=""),"",IF(D77&gt;F77,"Arşen Onayı Gerekli","Doğrudan (eşik altı)"))</f>
        <v/>
      </c>
      <c r="H77" s="8" t="n"/>
      <c r="I77" s="7" t="n"/>
      <c r="J77" s="7" t="n"/>
      <c r="K77" s="7" t="n"/>
      <c r="L77" s="7" t="n"/>
      <c r="M77" s="7" t="n"/>
      <c r="N77" s="8" t="n"/>
      <c r="O77" s="7" t="n"/>
      <c r="P77" s="7" t="n"/>
    </row>
    <row r="78" ht="22" customHeight="1">
      <c r="A78" s="7" t="n"/>
      <c r="B78" s="7" t="n"/>
      <c r="C78" s="7" t="n"/>
      <c r="D78" s="12" t="n"/>
      <c r="E78" s="7" t="n"/>
      <c r="F78" s="13">
        <f>IFERROR(VLOOKUP(E78,Listeler!$E$3:$F$5,2,FALSE),"")</f>
        <v/>
      </c>
      <c r="G78" s="10">
        <f>IF(OR(D78="",E78=""),"",IF(D78&gt;F78,"Arşen Onayı Gerekli","Doğrudan (eşik altı)"))</f>
        <v/>
      </c>
      <c r="H78" s="8" t="n"/>
      <c r="I78" s="7" t="n"/>
      <c r="J78" s="7" t="n"/>
      <c r="K78" s="7" t="n"/>
      <c r="L78" s="7" t="n"/>
      <c r="M78" s="7" t="n"/>
      <c r="N78" s="8" t="n"/>
      <c r="O78" s="7" t="n"/>
      <c r="P78" s="7" t="n"/>
    </row>
    <row r="79" ht="22" customHeight="1">
      <c r="A79" s="7" t="n"/>
      <c r="B79" s="7" t="n"/>
      <c r="C79" s="7" t="n"/>
      <c r="D79" s="12" t="n"/>
      <c r="E79" s="7" t="n"/>
      <c r="F79" s="13">
        <f>IFERROR(VLOOKUP(E79,Listeler!$E$3:$F$5,2,FALSE),"")</f>
        <v/>
      </c>
      <c r="G79" s="10">
        <f>IF(OR(D79="",E79=""),"",IF(D79&gt;F79,"Arşen Onayı Gerekli","Doğrudan (eşik altı)"))</f>
        <v/>
      </c>
      <c r="H79" s="8" t="n"/>
      <c r="I79" s="7" t="n"/>
      <c r="J79" s="7" t="n"/>
      <c r="K79" s="7" t="n"/>
      <c r="L79" s="7" t="n"/>
      <c r="M79" s="7" t="n"/>
      <c r="N79" s="8" t="n"/>
      <c r="O79" s="7" t="n"/>
      <c r="P79" s="7" t="n"/>
    </row>
    <row r="80" ht="22" customHeight="1">
      <c r="A80" s="7" t="n"/>
      <c r="B80" s="7" t="n"/>
      <c r="C80" s="7" t="n"/>
      <c r="D80" s="12" t="n"/>
      <c r="E80" s="7" t="n"/>
      <c r="F80" s="13">
        <f>IFERROR(VLOOKUP(E80,Listeler!$E$3:$F$5,2,FALSE),"")</f>
        <v/>
      </c>
      <c r="G80" s="10">
        <f>IF(OR(D80="",E80=""),"",IF(D80&gt;F80,"Arşen Onayı Gerekli","Doğrudan (eşik altı)"))</f>
        <v/>
      </c>
      <c r="H80" s="8" t="n"/>
      <c r="I80" s="7" t="n"/>
      <c r="J80" s="7" t="n"/>
      <c r="K80" s="7" t="n"/>
      <c r="L80" s="7" t="n"/>
      <c r="M80" s="7" t="n"/>
      <c r="N80" s="8" t="n"/>
      <c r="O80" s="7" t="n"/>
      <c r="P80" s="7" t="n"/>
    </row>
    <row r="81" ht="22" customHeight="1">
      <c r="A81" s="7" t="n"/>
      <c r="B81" s="7" t="n"/>
      <c r="C81" s="7" t="n"/>
      <c r="D81" s="12" t="n"/>
      <c r="E81" s="7" t="n"/>
      <c r="F81" s="13">
        <f>IFERROR(VLOOKUP(E81,Listeler!$E$3:$F$5,2,FALSE),"")</f>
        <v/>
      </c>
      <c r="G81" s="10">
        <f>IF(OR(D81="",E81=""),"",IF(D81&gt;F81,"Arşen Onayı Gerekli","Doğrudan (eşik altı)"))</f>
        <v/>
      </c>
      <c r="H81" s="8" t="n"/>
      <c r="I81" s="7" t="n"/>
      <c r="J81" s="7" t="n"/>
      <c r="K81" s="7" t="n"/>
      <c r="L81" s="7" t="n"/>
      <c r="M81" s="7" t="n"/>
      <c r="N81" s="8" t="n"/>
      <c r="O81" s="7" t="n"/>
      <c r="P81" s="7" t="n"/>
    </row>
  </sheetData>
  <autoFilter ref="A1:P1"/>
  <conditionalFormatting sqref="A2:P81">
    <cfRule type="expression" priority="1" dxfId="0" stopIfTrue="0">
      <formula>MOD(ROW(),2)=0</formula>
    </cfRule>
  </conditionalFormatting>
  <conditionalFormatting sqref="G2:G81">
    <cfRule type="cellIs" priority="2" operator="equal" dxfId="2" stopIfTrue="1">
      <formula>"Arşen Onayı Gerekli"</formula>
    </cfRule>
    <cfRule type="cellIs" priority="3" operator="equal" dxfId="6" stopIfTrue="1">
      <formula>"Doğrudan (eşik altı)"</formula>
    </cfRule>
  </conditionalFormatting>
  <conditionalFormatting sqref="L2:L81">
    <cfRule type="cellIs" priority="4" operator="equal" dxfId="2" stopIfTrue="1">
      <formula>"bekliyor"</formula>
    </cfRule>
    <cfRule type="cellIs" priority="5" operator="equal" dxfId="6" stopIfTrue="1">
      <formula>"onaylandı"</formula>
    </cfRule>
    <cfRule type="cellIs" priority="6" operator="equal" dxfId="7" stopIfTrue="1">
      <formula>"reddedildi"</formula>
    </cfRule>
    <cfRule type="cellIs" priority="7" operator="equal" dxfId="3" stopIfTrue="1">
      <formula>"doğrudan"</formula>
    </cfRule>
  </conditionalFormatting>
  <dataValidations count="5">
    <dataValidation sqref="A2:A81" showDropDown="0" showInputMessage="0" showErrorMessage="0" allowBlank="1" errorTitle="Geçersiz proje" error="Listede olmayan proje kodu." type="list">
      <formula1>='1·Proje Girişi'!$A$2:$A$81</formula1>
    </dataValidation>
    <dataValidation sqref="E2:E81" showDropDown="0" showInputMessage="0" showErrorMessage="0" allowBlank="1" errorTitle="Geçersiz değer" error="Lütfen listeden bir değer seçin." prompt="Açılır listeden seçin" type="list">
      <formula1>"EUR,TRY,USD"</formula1>
    </dataValidation>
    <dataValidation sqref="K2:K81" showDropDown="0" showInputMessage="0" showErrorMessage="0" allowBlank="1" errorTitle="Geçersiz değer" error="Lütfen listeden bir değer seçin." prompt="Açılır listeden seçin" type="list">
      <formula1>"Evet,Hayır"</formula1>
    </dataValidation>
    <dataValidation sqref="L2:L81" showDropDown="0" showInputMessage="0" showErrorMessage="0" allowBlank="1" errorTitle="Geçersiz değer" error="Lütfen listeden bir değer seçin." prompt="Açılır listeden seçin" type="list">
      <formula1>"bekliyor,onaylandı,reddedildi,doğrudan"</formula1>
    </dataValidation>
    <dataValidation sqref="O2:O81" showDropDown="0" showInputMessage="0" showErrorMessage="0" allowBlank="1" errorTitle="Geçersiz değer" error="Lütfen listeden bir değer seçin." prompt="Açılır listeden seçin" type="list">
      <formula1>"Siparişte,Onayda,Teknikte,Post Delivery"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6" customWidth="1" min="4" max="4"/>
    <col width="13" customWidth="1" min="5" max="5"/>
    <col width="13" customWidth="1" min="6" max="6"/>
    <col width="11" customWidth="1" min="7" max="7"/>
    <col width="16" customWidth="1" min="8" max="8"/>
    <col width="30" customWidth="1" min="9" max="9"/>
  </cols>
  <sheetData>
    <row r="1" ht="30" customHeight="1">
      <c r="A1" s="6" t="inlineStr">
        <is>
          <t>Proje Kodu</t>
        </is>
      </c>
      <c r="B1" s="6" t="inlineStr">
        <is>
          <t>Proje Adı</t>
        </is>
      </c>
      <c r="C1" s="6" t="inlineStr">
        <is>
          <t>Aşama Tipi</t>
        </is>
      </c>
      <c r="D1" s="6" t="inlineStr">
        <is>
          <t>Body / Başlık</t>
        </is>
      </c>
      <c r="E1" s="6" t="inlineStr">
        <is>
          <t>Başlangıç</t>
        </is>
      </c>
      <c r="F1" s="6" t="inlineStr">
        <is>
          <t>Bitiş</t>
        </is>
      </c>
      <c r="G1" s="6" t="inlineStr">
        <is>
          <t>Süre (gün)</t>
        </is>
      </c>
      <c r="H1" s="6" t="inlineStr">
        <is>
          <t>Sorumlu</t>
        </is>
      </c>
      <c r="I1" s="6" t="inlineStr">
        <is>
          <t>Not</t>
        </is>
      </c>
    </row>
    <row r="2" ht="22" customHeight="1">
      <c r="A2" s="7" t="inlineStr">
        <is>
          <t>SYN-2026-001</t>
        </is>
      </c>
      <c r="B2" s="11">
        <f>IFERROR(VLOOKUP(A2,'1·Proje Girişi'!$A:$B,2,FALSE),"")</f>
        <v/>
      </c>
      <c r="C2" s="7" t="inlineStr">
        <is>
          <t>Mühendislik</t>
        </is>
      </c>
      <c r="D2" s="7" t="inlineStr">
        <is>
          <t>P&amp;ID + Genel Çizim</t>
        </is>
      </c>
      <c r="E2" s="8" t="n">
        <v>46174</v>
      </c>
      <c r="F2" s="8" t="n">
        <v>46218</v>
      </c>
      <c r="G2" s="10">
        <f>IF(OR(E2="",F2=""),"",F2-E2)</f>
        <v/>
      </c>
      <c r="H2" s="7" t="inlineStr">
        <is>
          <t>E. Yılmaz</t>
        </is>
      </c>
      <c r="I2" s="7" t="n"/>
    </row>
    <row r="3" ht="22" customHeight="1">
      <c r="A3" s="7" t="inlineStr">
        <is>
          <t>SYN-2026-001</t>
        </is>
      </c>
      <c r="B3" s="11">
        <f>IFERROR(VLOOKUP(A3,'1·Proje Girişi'!$A:$B,2,FALSE),"")</f>
        <v/>
      </c>
      <c r="C3" s="7" t="inlineStr">
        <is>
          <t>Satın Alma</t>
        </is>
      </c>
      <c r="D3" s="7" t="inlineStr">
        <is>
          <t>Reaktör + pompa tedarik</t>
        </is>
      </c>
      <c r="E3" s="8" t="n">
        <v>46219</v>
      </c>
      <c r="F3" s="8" t="n">
        <v>46266</v>
      </c>
      <c r="G3" s="10">
        <f>IF(OR(E3="",F3=""),"",F3-E3)</f>
        <v/>
      </c>
      <c r="H3" s="7" t="inlineStr">
        <is>
          <t>M. Sancak</t>
        </is>
      </c>
      <c r="I3" s="7" t="n"/>
    </row>
    <row r="4" ht="22" customHeight="1">
      <c r="A4" s="7" t="inlineStr">
        <is>
          <t>SYN-2026-001</t>
        </is>
      </c>
      <c r="B4" s="11">
        <f>IFERROR(VLOOKUP(A4,'1·Proje Girişi'!$A:$B,2,FALSE),"")</f>
        <v/>
      </c>
      <c r="C4" s="7" t="inlineStr">
        <is>
          <t>Üretim / İmalat</t>
        </is>
      </c>
      <c r="D4" s="7" t="inlineStr">
        <is>
          <t>Reaktör imalatı</t>
        </is>
      </c>
      <c r="E4" s="8" t="n">
        <v>46267</v>
      </c>
      <c r="F4" s="8" t="n">
        <v>46327</v>
      </c>
      <c r="G4" s="10">
        <f>IF(OR(E4="",F4=""),"",F4-E4)</f>
        <v/>
      </c>
      <c r="H4" s="7" t="inlineStr">
        <is>
          <t>Atölye</t>
        </is>
      </c>
      <c r="I4" s="7" t="n"/>
    </row>
    <row r="5" ht="22" customHeight="1">
      <c r="A5" s="7" t="inlineStr">
        <is>
          <t>SYN-2026-001</t>
        </is>
      </c>
      <c r="B5" s="11">
        <f>IFERROR(VLOOKUP(A5,'1·Proje Girişi'!$A:$B,2,FALSE),"")</f>
        <v/>
      </c>
      <c r="C5" s="7" t="inlineStr">
        <is>
          <t>Test + Montaj + Sevkiyat</t>
        </is>
      </c>
      <c r="D5" s="7" t="inlineStr">
        <is>
          <t>FAT + montaj + sevk</t>
        </is>
      </c>
      <c r="E5" s="8" t="n">
        <v>46328</v>
      </c>
      <c r="F5" s="8" t="n">
        <v>46371</v>
      </c>
      <c r="G5" s="10">
        <f>IF(OR(E5="",F5=""),"",F5-E5)</f>
        <v/>
      </c>
      <c r="H5" s="7" t="inlineStr">
        <is>
          <t>Saha</t>
        </is>
      </c>
      <c r="I5" s="7" t="n"/>
    </row>
    <row r="6" ht="22" customHeight="1">
      <c r="A6" s="7" t="n"/>
      <c r="B6" s="11">
        <f>IFERROR(VLOOKUP(A6,'1·Proje Girişi'!$A:$B,2,FALSE),"")</f>
        <v/>
      </c>
      <c r="C6" s="7" t="n"/>
      <c r="D6" s="7" t="n"/>
      <c r="E6" s="8" t="n"/>
      <c r="F6" s="8" t="n"/>
      <c r="G6" s="10">
        <f>IF(OR(E6="",F6=""),"",F6-E6)</f>
        <v/>
      </c>
      <c r="H6" s="7" t="n"/>
      <c r="I6" s="7" t="n"/>
    </row>
    <row r="7" ht="22" customHeight="1">
      <c r="A7" s="7" t="n"/>
      <c r="B7" s="11">
        <f>IFERROR(VLOOKUP(A7,'1·Proje Girişi'!$A:$B,2,FALSE),"")</f>
        <v/>
      </c>
      <c r="C7" s="7" t="n"/>
      <c r="D7" s="7" t="n"/>
      <c r="E7" s="8" t="n"/>
      <c r="F7" s="8" t="n"/>
      <c r="G7" s="10">
        <f>IF(OR(E7="",F7=""),"",F7-E7)</f>
        <v/>
      </c>
      <c r="H7" s="7" t="n"/>
      <c r="I7" s="7" t="n"/>
    </row>
    <row r="8" ht="22" customHeight="1">
      <c r="A8" s="7" t="n"/>
      <c r="B8" s="11">
        <f>IFERROR(VLOOKUP(A8,'1·Proje Girişi'!$A:$B,2,FALSE),"")</f>
        <v/>
      </c>
      <c r="C8" s="7" t="n"/>
      <c r="D8" s="7" t="n"/>
      <c r="E8" s="8" t="n"/>
      <c r="F8" s="8" t="n"/>
      <c r="G8" s="10">
        <f>IF(OR(E8="",F8=""),"",F8-E8)</f>
        <v/>
      </c>
      <c r="H8" s="7" t="n"/>
      <c r="I8" s="7" t="n"/>
    </row>
    <row r="9" ht="22" customHeight="1">
      <c r="A9" s="7" t="n"/>
      <c r="B9" s="11">
        <f>IFERROR(VLOOKUP(A9,'1·Proje Girişi'!$A:$B,2,FALSE),"")</f>
        <v/>
      </c>
      <c r="C9" s="7" t="n"/>
      <c r="D9" s="7" t="n"/>
      <c r="E9" s="8" t="n"/>
      <c r="F9" s="8" t="n"/>
      <c r="G9" s="10">
        <f>IF(OR(E9="",F9=""),"",F9-E9)</f>
        <v/>
      </c>
      <c r="H9" s="7" t="n"/>
      <c r="I9" s="7" t="n"/>
    </row>
    <row r="10" ht="22" customHeight="1">
      <c r="A10" s="7" t="n"/>
      <c r="B10" s="11">
        <f>IFERROR(VLOOKUP(A10,'1·Proje Girişi'!$A:$B,2,FALSE),"")</f>
        <v/>
      </c>
      <c r="C10" s="7" t="n"/>
      <c r="D10" s="7" t="n"/>
      <c r="E10" s="8" t="n"/>
      <c r="F10" s="8" t="n"/>
      <c r="G10" s="10">
        <f>IF(OR(E10="",F10=""),"",F10-E10)</f>
        <v/>
      </c>
      <c r="H10" s="7" t="n"/>
      <c r="I10" s="7" t="n"/>
    </row>
    <row r="11" ht="22" customHeight="1">
      <c r="A11" s="7" t="n"/>
      <c r="B11" s="11">
        <f>IFERROR(VLOOKUP(A11,'1·Proje Girişi'!$A:$B,2,FALSE),"")</f>
        <v/>
      </c>
      <c r="C11" s="7" t="n"/>
      <c r="D11" s="7" t="n"/>
      <c r="E11" s="8" t="n"/>
      <c r="F11" s="8" t="n"/>
      <c r="G11" s="10">
        <f>IF(OR(E11="",F11=""),"",F11-E11)</f>
        <v/>
      </c>
      <c r="H11" s="7" t="n"/>
      <c r="I11" s="7" t="n"/>
    </row>
    <row r="12" ht="22" customHeight="1">
      <c r="A12" s="7" t="n"/>
      <c r="B12" s="11">
        <f>IFERROR(VLOOKUP(A12,'1·Proje Girişi'!$A:$B,2,FALSE),"")</f>
        <v/>
      </c>
      <c r="C12" s="7" t="n"/>
      <c r="D12" s="7" t="n"/>
      <c r="E12" s="8" t="n"/>
      <c r="F12" s="8" t="n"/>
      <c r="G12" s="10">
        <f>IF(OR(E12="",F12=""),"",F12-E12)</f>
        <v/>
      </c>
      <c r="H12" s="7" t="n"/>
      <c r="I12" s="7" t="n"/>
    </row>
    <row r="13" ht="22" customHeight="1">
      <c r="A13" s="7" t="n"/>
      <c r="B13" s="11">
        <f>IFERROR(VLOOKUP(A13,'1·Proje Girişi'!$A:$B,2,FALSE),"")</f>
        <v/>
      </c>
      <c r="C13" s="7" t="n"/>
      <c r="D13" s="7" t="n"/>
      <c r="E13" s="8" t="n"/>
      <c r="F13" s="8" t="n"/>
      <c r="G13" s="10">
        <f>IF(OR(E13="",F13=""),"",F13-E13)</f>
        <v/>
      </c>
      <c r="H13" s="7" t="n"/>
      <c r="I13" s="7" t="n"/>
    </row>
    <row r="14" ht="22" customHeight="1">
      <c r="A14" s="7" t="n"/>
      <c r="B14" s="11">
        <f>IFERROR(VLOOKUP(A14,'1·Proje Girişi'!$A:$B,2,FALSE),"")</f>
        <v/>
      </c>
      <c r="C14" s="7" t="n"/>
      <c r="D14" s="7" t="n"/>
      <c r="E14" s="8" t="n"/>
      <c r="F14" s="8" t="n"/>
      <c r="G14" s="10">
        <f>IF(OR(E14="",F14=""),"",F14-E14)</f>
        <v/>
      </c>
      <c r="H14" s="7" t="n"/>
      <c r="I14" s="7" t="n"/>
    </row>
    <row r="15" ht="22" customHeight="1">
      <c r="A15" s="7" t="n"/>
      <c r="B15" s="11">
        <f>IFERROR(VLOOKUP(A15,'1·Proje Girişi'!$A:$B,2,FALSE),"")</f>
        <v/>
      </c>
      <c r="C15" s="7" t="n"/>
      <c r="D15" s="7" t="n"/>
      <c r="E15" s="8" t="n"/>
      <c r="F15" s="8" t="n"/>
      <c r="G15" s="10">
        <f>IF(OR(E15="",F15=""),"",F15-E15)</f>
        <v/>
      </c>
      <c r="H15" s="7" t="n"/>
      <c r="I15" s="7" t="n"/>
    </row>
    <row r="16" ht="22" customHeight="1">
      <c r="A16" s="7" t="n"/>
      <c r="B16" s="11">
        <f>IFERROR(VLOOKUP(A16,'1·Proje Girişi'!$A:$B,2,FALSE),"")</f>
        <v/>
      </c>
      <c r="C16" s="7" t="n"/>
      <c r="D16" s="7" t="n"/>
      <c r="E16" s="8" t="n"/>
      <c r="F16" s="8" t="n"/>
      <c r="G16" s="10">
        <f>IF(OR(E16="",F16=""),"",F16-E16)</f>
        <v/>
      </c>
      <c r="H16" s="7" t="n"/>
      <c r="I16" s="7" t="n"/>
    </row>
    <row r="17" ht="22" customHeight="1">
      <c r="A17" s="7" t="n"/>
      <c r="B17" s="11">
        <f>IFERROR(VLOOKUP(A17,'1·Proje Girişi'!$A:$B,2,FALSE),"")</f>
        <v/>
      </c>
      <c r="C17" s="7" t="n"/>
      <c r="D17" s="7" t="n"/>
      <c r="E17" s="8" t="n"/>
      <c r="F17" s="8" t="n"/>
      <c r="G17" s="10">
        <f>IF(OR(E17="",F17=""),"",F17-E17)</f>
        <v/>
      </c>
      <c r="H17" s="7" t="n"/>
      <c r="I17" s="7" t="n"/>
    </row>
    <row r="18" ht="22" customHeight="1">
      <c r="A18" s="7" t="n"/>
      <c r="B18" s="11">
        <f>IFERROR(VLOOKUP(A18,'1·Proje Girişi'!$A:$B,2,FALSE),"")</f>
        <v/>
      </c>
      <c r="C18" s="7" t="n"/>
      <c r="D18" s="7" t="n"/>
      <c r="E18" s="8" t="n"/>
      <c r="F18" s="8" t="n"/>
      <c r="G18" s="10">
        <f>IF(OR(E18="",F18=""),"",F18-E18)</f>
        <v/>
      </c>
      <c r="H18" s="7" t="n"/>
      <c r="I18" s="7" t="n"/>
    </row>
    <row r="19" ht="22" customHeight="1">
      <c r="A19" s="7" t="n"/>
      <c r="B19" s="11">
        <f>IFERROR(VLOOKUP(A19,'1·Proje Girişi'!$A:$B,2,FALSE),"")</f>
        <v/>
      </c>
      <c r="C19" s="7" t="n"/>
      <c r="D19" s="7" t="n"/>
      <c r="E19" s="8" t="n"/>
      <c r="F19" s="8" t="n"/>
      <c r="G19" s="10">
        <f>IF(OR(E19="",F19=""),"",F19-E19)</f>
        <v/>
      </c>
      <c r="H19" s="7" t="n"/>
      <c r="I19" s="7" t="n"/>
    </row>
    <row r="20" ht="22" customHeight="1">
      <c r="A20" s="7" t="n"/>
      <c r="B20" s="11">
        <f>IFERROR(VLOOKUP(A20,'1·Proje Girişi'!$A:$B,2,FALSE),"")</f>
        <v/>
      </c>
      <c r="C20" s="7" t="n"/>
      <c r="D20" s="7" t="n"/>
      <c r="E20" s="8" t="n"/>
      <c r="F20" s="8" t="n"/>
      <c r="G20" s="10">
        <f>IF(OR(E20="",F20=""),"",F20-E20)</f>
        <v/>
      </c>
      <c r="H20" s="7" t="n"/>
      <c r="I20" s="7" t="n"/>
    </row>
    <row r="21" ht="22" customHeight="1">
      <c r="A21" s="7" t="n"/>
      <c r="B21" s="11">
        <f>IFERROR(VLOOKUP(A21,'1·Proje Girişi'!$A:$B,2,FALSE),"")</f>
        <v/>
      </c>
      <c r="C21" s="7" t="n"/>
      <c r="D21" s="7" t="n"/>
      <c r="E21" s="8" t="n"/>
      <c r="F21" s="8" t="n"/>
      <c r="G21" s="10">
        <f>IF(OR(E21="",F21=""),"",F21-E21)</f>
        <v/>
      </c>
      <c r="H21" s="7" t="n"/>
      <c r="I21" s="7" t="n"/>
    </row>
    <row r="22" ht="22" customHeight="1">
      <c r="A22" s="7" t="n"/>
      <c r="B22" s="11">
        <f>IFERROR(VLOOKUP(A22,'1·Proje Girişi'!$A:$B,2,FALSE),"")</f>
        <v/>
      </c>
      <c r="C22" s="7" t="n"/>
      <c r="D22" s="7" t="n"/>
      <c r="E22" s="8" t="n"/>
      <c r="F22" s="8" t="n"/>
      <c r="G22" s="10">
        <f>IF(OR(E22="",F22=""),"",F22-E22)</f>
        <v/>
      </c>
      <c r="H22" s="7" t="n"/>
      <c r="I22" s="7" t="n"/>
    </row>
    <row r="23" ht="22" customHeight="1">
      <c r="A23" s="7" t="n"/>
      <c r="B23" s="11">
        <f>IFERROR(VLOOKUP(A23,'1·Proje Girişi'!$A:$B,2,FALSE),"")</f>
        <v/>
      </c>
      <c r="C23" s="7" t="n"/>
      <c r="D23" s="7" t="n"/>
      <c r="E23" s="8" t="n"/>
      <c r="F23" s="8" t="n"/>
      <c r="G23" s="10">
        <f>IF(OR(E23="",F23=""),"",F23-E23)</f>
        <v/>
      </c>
      <c r="H23" s="7" t="n"/>
      <c r="I23" s="7" t="n"/>
    </row>
    <row r="24" ht="22" customHeight="1">
      <c r="A24" s="7" t="n"/>
      <c r="B24" s="11">
        <f>IFERROR(VLOOKUP(A24,'1·Proje Girişi'!$A:$B,2,FALSE),"")</f>
        <v/>
      </c>
      <c r="C24" s="7" t="n"/>
      <c r="D24" s="7" t="n"/>
      <c r="E24" s="8" t="n"/>
      <c r="F24" s="8" t="n"/>
      <c r="G24" s="10">
        <f>IF(OR(E24="",F24=""),"",F24-E24)</f>
        <v/>
      </c>
      <c r="H24" s="7" t="n"/>
      <c r="I24" s="7" t="n"/>
    </row>
    <row r="25" ht="22" customHeight="1">
      <c r="A25" s="7" t="n"/>
      <c r="B25" s="11">
        <f>IFERROR(VLOOKUP(A25,'1·Proje Girişi'!$A:$B,2,FALSE),"")</f>
        <v/>
      </c>
      <c r="C25" s="7" t="n"/>
      <c r="D25" s="7" t="n"/>
      <c r="E25" s="8" t="n"/>
      <c r="F25" s="8" t="n"/>
      <c r="G25" s="10">
        <f>IF(OR(E25="",F25=""),"",F25-E25)</f>
        <v/>
      </c>
      <c r="H25" s="7" t="n"/>
      <c r="I25" s="7" t="n"/>
    </row>
    <row r="26" ht="22" customHeight="1">
      <c r="A26" s="7" t="n"/>
      <c r="B26" s="11">
        <f>IFERROR(VLOOKUP(A26,'1·Proje Girişi'!$A:$B,2,FALSE),"")</f>
        <v/>
      </c>
      <c r="C26" s="7" t="n"/>
      <c r="D26" s="7" t="n"/>
      <c r="E26" s="8" t="n"/>
      <c r="F26" s="8" t="n"/>
      <c r="G26" s="10">
        <f>IF(OR(E26="",F26=""),"",F26-E26)</f>
        <v/>
      </c>
      <c r="H26" s="7" t="n"/>
      <c r="I26" s="7" t="n"/>
    </row>
    <row r="27" ht="22" customHeight="1">
      <c r="A27" s="7" t="n"/>
      <c r="B27" s="11">
        <f>IFERROR(VLOOKUP(A27,'1·Proje Girişi'!$A:$B,2,FALSE),"")</f>
        <v/>
      </c>
      <c r="C27" s="7" t="n"/>
      <c r="D27" s="7" t="n"/>
      <c r="E27" s="8" t="n"/>
      <c r="F27" s="8" t="n"/>
      <c r="G27" s="10">
        <f>IF(OR(E27="",F27=""),"",F27-E27)</f>
        <v/>
      </c>
      <c r="H27" s="7" t="n"/>
      <c r="I27" s="7" t="n"/>
    </row>
    <row r="28" ht="22" customHeight="1">
      <c r="A28" s="7" t="n"/>
      <c r="B28" s="11">
        <f>IFERROR(VLOOKUP(A28,'1·Proje Girişi'!$A:$B,2,FALSE),"")</f>
        <v/>
      </c>
      <c r="C28" s="7" t="n"/>
      <c r="D28" s="7" t="n"/>
      <c r="E28" s="8" t="n"/>
      <c r="F28" s="8" t="n"/>
      <c r="G28" s="10">
        <f>IF(OR(E28="",F28=""),"",F28-E28)</f>
        <v/>
      </c>
      <c r="H28" s="7" t="n"/>
      <c r="I28" s="7" t="n"/>
    </row>
    <row r="29" ht="22" customHeight="1">
      <c r="A29" s="7" t="n"/>
      <c r="B29" s="11">
        <f>IFERROR(VLOOKUP(A29,'1·Proje Girişi'!$A:$B,2,FALSE),"")</f>
        <v/>
      </c>
      <c r="C29" s="7" t="n"/>
      <c r="D29" s="7" t="n"/>
      <c r="E29" s="8" t="n"/>
      <c r="F29" s="8" t="n"/>
      <c r="G29" s="10">
        <f>IF(OR(E29="",F29=""),"",F29-E29)</f>
        <v/>
      </c>
      <c r="H29" s="7" t="n"/>
      <c r="I29" s="7" t="n"/>
    </row>
    <row r="30" ht="22" customHeight="1">
      <c r="A30" s="7" t="n"/>
      <c r="B30" s="11">
        <f>IFERROR(VLOOKUP(A30,'1·Proje Girişi'!$A:$B,2,FALSE),"")</f>
        <v/>
      </c>
      <c r="C30" s="7" t="n"/>
      <c r="D30" s="7" t="n"/>
      <c r="E30" s="8" t="n"/>
      <c r="F30" s="8" t="n"/>
      <c r="G30" s="10">
        <f>IF(OR(E30="",F30=""),"",F30-E30)</f>
        <v/>
      </c>
      <c r="H30" s="7" t="n"/>
      <c r="I30" s="7" t="n"/>
    </row>
    <row r="31" ht="22" customHeight="1">
      <c r="A31" s="7" t="n"/>
      <c r="B31" s="11">
        <f>IFERROR(VLOOKUP(A31,'1·Proje Girişi'!$A:$B,2,FALSE),"")</f>
        <v/>
      </c>
      <c r="C31" s="7" t="n"/>
      <c r="D31" s="7" t="n"/>
      <c r="E31" s="8" t="n"/>
      <c r="F31" s="8" t="n"/>
      <c r="G31" s="10">
        <f>IF(OR(E31="",F31=""),"",F31-E31)</f>
        <v/>
      </c>
      <c r="H31" s="7" t="n"/>
      <c r="I31" s="7" t="n"/>
    </row>
    <row r="32" ht="22" customHeight="1">
      <c r="A32" s="7" t="n"/>
      <c r="B32" s="11">
        <f>IFERROR(VLOOKUP(A32,'1·Proje Girişi'!$A:$B,2,FALSE),"")</f>
        <v/>
      </c>
      <c r="C32" s="7" t="n"/>
      <c r="D32" s="7" t="n"/>
      <c r="E32" s="8" t="n"/>
      <c r="F32" s="8" t="n"/>
      <c r="G32" s="10">
        <f>IF(OR(E32="",F32=""),"",F32-E32)</f>
        <v/>
      </c>
      <c r="H32" s="7" t="n"/>
      <c r="I32" s="7" t="n"/>
    </row>
    <row r="33" ht="22" customHeight="1">
      <c r="A33" s="7" t="n"/>
      <c r="B33" s="11">
        <f>IFERROR(VLOOKUP(A33,'1·Proje Girişi'!$A:$B,2,FALSE),"")</f>
        <v/>
      </c>
      <c r="C33" s="7" t="n"/>
      <c r="D33" s="7" t="n"/>
      <c r="E33" s="8" t="n"/>
      <c r="F33" s="8" t="n"/>
      <c r="G33" s="10">
        <f>IF(OR(E33="",F33=""),"",F33-E33)</f>
        <v/>
      </c>
      <c r="H33" s="7" t="n"/>
      <c r="I33" s="7" t="n"/>
    </row>
    <row r="34" ht="22" customHeight="1">
      <c r="A34" s="7" t="n"/>
      <c r="B34" s="11">
        <f>IFERROR(VLOOKUP(A34,'1·Proje Girişi'!$A:$B,2,FALSE),"")</f>
        <v/>
      </c>
      <c r="C34" s="7" t="n"/>
      <c r="D34" s="7" t="n"/>
      <c r="E34" s="8" t="n"/>
      <c r="F34" s="8" t="n"/>
      <c r="G34" s="10">
        <f>IF(OR(E34="",F34=""),"",F34-E34)</f>
        <v/>
      </c>
      <c r="H34" s="7" t="n"/>
      <c r="I34" s="7" t="n"/>
    </row>
    <row r="35" ht="22" customHeight="1">
      <c r="A35" s="7" t="n"/>
      <c r="B35" s="11">
        <f>IFERROR(VLOOKUP(A35,'1·Proje Girişi'!$A:$B,2,FALSE),"")</f>
        <v/>
      </c>
      <c r="C35" s="7" t="n"/>
      <c r="D35" s="7" t="n"/>
      <c r="E35" s="8" t="n"/>
      <c r="F35" s="8" t="n"/>
      <c r="G35" s="10">
        <f>IF(OR(E35="",F35=""),"",F35-E35)</f>
        <v/>
      </c>
      <c r="H35" s="7" t="n"/>
      <c r="I35" s="7" t="n"/>
    </row>
    <row r="36" ht="22" customHeight="1">
      <c r="A36" s="7" t="n"/>
      <c r="B36" s="11">
        <f>IFERROR(VLOOKUP(A36,'1·Proje Girişi'!$A:$B,2,FALSE),"")</f>
        <v/>
      </c>
      <c r="C36" s="7" t="n"/>
      <c r="D36" s="7" t="n"/>
      <c r="E36" s="8" t="n"/>
      <c r="F36" s="8" t="n"/>
      <c r="G36" s="10">
        <f>IF(OR(E36="",F36=""),"",F36-E36)</f>
        <v/>
      </c>
      <c r="H36" s="7" t="n"/>
      <c r="I36" s="7" t="n"/>
    </row>
    <row r="37" ht="22" customHeight="1">
      <c r="A37" s="7" t="n"/>
      <c r="B37" s="11">
        <f>IFERROR(VLOOKUP(A37,'1·Proje Girişi'!$A:$B,2,FALSE),"")</f>
        <v/>
      </c>
      <c r="C37" s="7" t="n"/>
      <c r="D37" s="7" t="n"/>
      <c r="E37" s="8" t="n"/>
      <c r="F37" s="8" t="n"/>
      <c r="G37" s="10">
        <f>IF(OR(E37="",F37=""),"",F37-E37)</f>
        <v/>
      </c>
      <c r="H37" s="7" t="n"/>
      <c r="I37" s="7" t="n"/>
    </row>
    <row r="38" ht="22" customHeight="1">
      <c r="A38" s="7" t="n"/>
      <c r="B38" s="11">
        <f>IFERROR(VLOOKUP(A38,'1·Proje Girişi'!$A:$B,2,FALSE),"")</f>
        <v/>
      </c>
      <c r="C38" s="7" t="n"/>
      <c r="D38" s="7" t="n"/>
      <c r="E38" s="8" t="n"/>
      <c r="F38" s="8" t="n"/>
      <c r="G38" s="10">
        <f>IF(OR(E38="",F38=""),"",F38-E38)</f>
        <v/>
      </c>
      <c r="H38" s="7" t="n"/>
      <c r="I38" s="7" t="n"/>
    </row>
    <row r="39" ht="22" customHeight="1">
      <c r="A39" s="7" t="n"/>
      <c r="B39" s="11">
        <f>IFERROR(VLOOKUP(A39,'1·Proje Girişi'!$A:$B,2,FALSE),"")</f>
        <v/>
      </c>
      <c r="C39" s="7" t="n"/>
      <c r="D39" s="7" t="n"/>
      <c r="E39" s="8" t="n"/>
      <c r="F39" s="8" t="n"/>
      <c r="G39" s="10">
        <f>IF(OR(E39="",F39=""),"",F39-E39)</f>
        <v/>
      </c>
      <c r="H39" s="7" t="n"/>
      <c r="I39" s="7" t="n"/>
    </row>
    <row r="40" ht="22" customHeight="1">
      <c r="A40" s="7" t="n"/>
      <c r="B40" s="11">
        <f>IFERROR(VLOOKUP(A40,'1·Proje Girişi'!$A:$B,2,FALSE),"")</f>
        <v/>
      </c>
      <c r="C40" s="7" t="n"/>
      <c r="D40" s="7" t="n"/>
      <c r="E40" s="8" t="n"/>
      <c r="F40" s="8" t="n"/>
      <c r="G40" s="10">
        <f>IF(OR(E40="",F40=""),"",F40-E40)</f>
        <v/>
      </c>
      <c r="H40" s="7" t="n"/>
      <c r="I40" s="7" t="n"/>
    </row>
    <row r="41" ht="22" customHeight="1">
      <c r="A41" s="7" t="n"/>
      <c r="B41" s="11">
        <f>IFERROR(VLOOKUP(A41,'1·Proje Girişi'!$A:$B,2,FALSE),"")</f>
        <v/>
      </c>
      <c r="C41" s="7" t="n"/>
      <c r="D41" s="7" t="n"/>
      <c r="E41" s="8" t="n"/>
      <c r="F41" s="8" t="n"/>
      <c r="G41" s="10">
        <f>IF(OR(E41="",F41=""),"",F41-E41)</f>
        <v/>
      </c>
      <c r="H41" s="7" t="n"/>
      <c r="I41" s="7" t="n"/>
    </row>
    <row r="42" ht="22" customHeight="1">
      <c r="A42" s="7" t="n"/>
      <c r="B42" s="11">
        <f>IFERROR(VLOOKUP(A42,'1·Proje Girişi'!$A:$B,2,FALSE),"")</f>
        <v/>
      </c>
      <c r="C42" s="7" t="n"/>
      <c r="D42" s="7" t="n"/>
      <c r="E42" s="8" t="n"/>
      <c r="F42" s="8" t="n"/>
      <c r="G42" s="10">
        <f>IF(OR(E42="",F42=""),"",F42-E42)</f>
        <v/>
      </c>
      <c r="H42" s="7" t="n"/>
      <c r="I42" s="7" t="n"/>
    </row>
    <row r="43" ht="22" customHeight="1">
      <c r="A43" s="7" t="n"/>
      <c r="B43" s="11">
        <f>IFERROR(VLOOKUP(A43,'1·Proje Girişi'!$A:$B,2,FALSE),"")</f>
        <v/>
      </c>
      <c r="C43" s="7" t="n"/>
      <c r="D43" s="7" t="n"/>
      <c r="E43" s="8" t="n"/>
      <c r="F43" s="8" t="n"/>
      <c r="G43" s="10">
        <f>IF(OR(E43="",F43=""),"",F43-E43)</f>
        <v/>
      </c>
      <c r="H43" s="7" t="n"/>
      <c r="I43" s="7" t="n"/>
    </row>
    <row r="44" ht="22" customHeight="1">
      <c r="A44" s="7" t="n"/>
      <c r="B44" s="11">
        <f>IFERROR(VLOOKUP(A44,'1·Proje Girişi'!$A:$B,2,FALSE),"")</f>
        <v/>
      </c>
      <c r="C44" s="7" t="n"/>
      <c r="D44" s="7" t="n"/>
      <c r="E44" s="8" t="n"/>
      <c r="F44" s="8" t="n"/>
      <c r="G44" s="10">
        <f>IF(OR(E44="",F44=""),"",F44-E44)</f>
        <v/>
      </c>
      <c r="H44" s="7" t="n"/>
      <c r="I44" s="7" t="n"/>
    </row>
    <row r="45" ht="22" customHeight="1">
      <c r="A45" s="7" t="n"/>
      <c r="B45" s="11">
        <f>IFERROR(VLOOKUP(A45,'1·Proje Girişi'!$A:$B,2,FALSE),"")</f>
        <v/>
      </c>
      <c r="C45" s="7" t="n"/>
      <c r="D45" s="7" t="n"/>
      <c r="E45" s="8" t="n"/>
      <c r="F45" s="8" t="n"/>
      <c r="G45" s="10">
        <f>IF(OR(E45="",F45=""),"",F45-E45)</f>
        <v/>
      </c>
      <c r="H45" s="7" t="n"/>
      <c r="I45" s="7" t="n"/>
    </row>
    <row r="46" ht="22" customHeight="1">
      <c r="A46" s="7" t="n"/>
      <c r="B46" s="11">
        <f>IFERROR(VLOOKUP(A46,'1·Proje Girişi'!$A:$B,2,FALSE),"")</f>
        <v/>
      </c>
      <c r="C46" s="7" t="n"/>
      <c r="D46" s="7" t="n"/>
      <c r="E46" s="8" t="n"/>
      <c r="F46" s="8" t="n"/>
      <c r="G46" s="10">
        <f>IF(OR(E46="",F46=""),"",F46-E46)</f>
        <v/>
      </c>
      <c r="H46" s="7" t="n"/>
      <c r="I46" s="7" t="n"/>
    </row>
    <row r="47" ht="22" customHeight="1">
      <c r="A47" s="7" t="n"/>
      <c r="B47" s="11">
        <f>IFERROR(VLOOKUP(A47,'1·Proje Girişi'!$A:$B,2,FALSE),"")</f>
        <v/>
      </c>
      <c r="C47" s="7" t="n"/>
      <c r="D47" s="7" t="n"/>
      <c r="E47" s="8" t="n"/>
      <c r="F47" s="8" t="n"/>
      <c r="G47" s="10">
        <f>IF(OR(E47="",F47=""),"",F47-E47)</f>
        <v/>
      </c>
      <c r="H47" s="7" t="n"/>
      <c r="I47" s="7" t="n"/>
    </row>
    <row r="48" ht="22" customHeight="1">
      <c r="A48" s="7" t="n"/>
      <c r="B48" s="11">
        <f>IFERROR(VLOOKUP(A48,'1·Proje Girişi'!$A:$B,2,FALSE),"")</f>
        <v/>
      </c>
      <c r="C48" s="7" t="n"/>
      <c r="D48" s="7" t="n"/>
      <c r="E48" s="8" t="n"/>
      <c r="F48" s="8" t="n"/>
      <c r="G48" s="10">
        <f>IF(OR(E48="",F48=""),"",F48-E48)</f>
        <v/>
      </c>
      <c r="H48" s="7" t="n"/>
      <c r="I48" s="7" t="n"/>
    </row>
    <row r="49" ht="22" customHeight="1">
      <c r="A49" s="7" t="n"/>
      <c r="B49" s="11">
        <f>IFERROR(VLOOKUP(A49,'1·Proje Girişi'!$A:$B,2,FALSE),"")</f>
        <v/>
      </c>
      <c r="C49" s="7" t="n"/>
      <c r="D49" s="7" t="n"/>
      <c r="E49" s="8" t="n"/>
      <c r="F49" s="8" t="n"/>
      <c r="G49" s="10">
        <f>IF(OR(E49="",F49=""),"",F49-E49)</f>
        <v/>
      </c>
      <c r="H49" s="7" t="n"/>
      <c r="I49" s="7" t="n"/>
    </row>
    <row r="50" ht="22" customHeight="1">
      <c r="A50" s="7" t="n"/>
      <c r="B50" s="11">
        <f>IFERROR(VLOOKUP(A50,'1·Proje Girişi'!$A:$B,2,FALSE),"")</f>
        <v/>
      </c>
      <c r="C50" s="7" t="n"/>
      <c r="D50" s="7" t="n"/>
      <c r="E50" s="8" t="n"/>
      <c r="F50" s="8" t="n"/>
      <c r="G50" s="10">
        <f>IF(OR(E50="",F50=""),"",F50-E50)</f>
        <v/>
      </c>
      <c r="H50" s="7" t="n"/>
      <c r="I50" s="7" t="n"/>
    </row>
    <row r="51" ht="22" customHeight="1">
      <c r="A51" s="7" t="n"/>
      <c r="B51" s="11">
        <f>IFERROR(VLOOKUP(A51,'1·Proje Girişi'!$A:$B,2,FALSE),"")</f>
        <v/>
      </c>
      <c r="C51" s="7" t="n"/>
      <c r="D51" s="7" t="n"/>
      <c r="E51" s="8" t="n"/>
      <c r="F51" s="8" t="n"/>
      <c r="G51" s="10">
        <f>IF(OR(E51="",F51=""),"",F51-E51)</f>
        <v/>
      </c>
      <c r="H51" s="7" t="n"/>
      <c r="I51" s="7" t="n"/>
    </row>
    <row r="52" ht="22" customHeight="1">
      <c r="A52" s="7" t="n"/>
      <c r="B52" s="11">
        <f>IFERROR(VLOOKUP(A52,'1·Proje Girişi'!$A:$B,2,FALSE),"")</f>
        <v/>
      </c>
      <c r="C52" s="7" t="n"/>
      <c r="D52" s="7" t="n"/>
      <c r="E52" s="8" t="n"/>
      <c r="F52" s="8" t="n"/>
      <c r="G52" s="10">
        <f>IF(OR(E52="",F52=""),"",F52-E52)</f>
        <v/>
      </c>
      <c r="H52" s="7" t="n"/>
      <c r="I52" s="7" t="n"/>
    </row>
    <row r="53" ht="22" customHeight="1">
      <c r="A53" s="7" t="n"/>
      <c r="B53" s="11">
        <f>IFERROR(VLOOKUP(A53,'1·Proje Girişi'!$A:$B,2,FALSE),"")</f>
        <v/>
      </c>
      <c r="C53" s="7" t="n"/>
      <c r="D53" s="7" t="n"/>
      <c r="E53" s="8" t="n"/>
      <c r="F53" s="8" t="n"/>
      <c r="G53" s="10">
        <f>IF(OR(E53="",F53=""),"",F53-E53)</f>
        <v/>
      </c>
      <c r="H53" s="7" t="n"/>
      <c r="I53" s="7" t="n"/>
    </row>
    <row r="54" ht="22" customHeight="1">
      <c r="A54" s="7" t="n"/>
      <c r="B54" s="11">
        <f>IFERROR(VLOOKUP(A54,'1·Proje Girişi'!$A:$B,2,FALSE),"")</f>
        <v/>
      </c>
      <c r="C54" s="7" t="n"/>
      <c r="D54" s="7" t="n"/>
      <c r="E54" s="8" t="n"/>
      <c r="F54" s="8" t="n"/>
      <c r="G54" s="10">
        <f>IF(OR(E54="",F54=""),"",F54-E54)</f>
        <v/>
      </c>
      <c r="H54" s="7" t="n"/>
      <c r="I54" s="7" t="n"/>
    </row>
    <row r="55" ht="22" customHeight="1">
      <c r="A55" s="7" t="n"/>
      <c r="B55" s="11">
        <f>IFERROR(VLOOKUP(A55,'1·Proje Girişi'!$A:$B,2,FALSE),"")</f>
        <v/>
      </c>
      <c r="C55" s="7" t="n"/>
      <c r="D55" s="7" t="n"/>
      <c r="E55" s="8" t="n"/>
      <c r="F55" s="8" t="n"/>
      <c r="G55" s="10">
        <f>IF(OR(E55="",F55=""),"",F55-E55)</f>
        <v/>
      </c>
      <c r="H55" s="7" t="n"/>
      <c r="I55" s="7" t="n"/>
    </row>
    <row r="56" ht="22" customHeight="1">
      <c r="A56" s="7" t="n"/>
      <c r="B56" s="11">
        <f>IFERROR(VLOOKUP(A56,'1·Proje Girişi'!$A:$B,2,FALSE),"")</f>
        <v/>
      </c>
      <c r="C56" s="7" t="n"/>
      <c r="D56" s="7" t="n"/>
      <c r="E56" s="8" t="n"/>
      <c r="F56" s="8" t="n"/>
      <c r="G56" s="10">
        <f>IF(OR(E56="",F56=""),"",F56-E56)</f>
        <v/>
      </c>
      <c r="H56" s="7" t="n"/>
      <c r="I56" s="7" t="n"/>
    </row>
    <row r="57" ht="22" customHeight="1">
      <c r="A57" s="7" t="n"/>
      <c r="B57" s="11">
        <f>IFERROR(VLOOKUP(A57,'1·Proje Girişi'!$A:$B,2,FALSE),"")</f>
        <v/>
      </c>
      <c r="C57" s="7" t="n"/>
      <c r="D57" s="7" t="n"/>
      <c r="E57" s="8" t="n"/>
      <c r="F57" s="8" t="n"/>
      <c r="G57" s="10">
        <f>IF(OR(E57="",F57=""),"",F57-E57)</f>
        <v/>
      </c>
      <c r="H57" s="7" t="n"/>
      <c r="I57" s="7" t="n"/>
    </row>
    <row r="58" ht="22" customHeight="1">
      <c r="A58" s="7" t="n"/>
      <c r="B58" s="11">
        <f>IFERROR(VLOOKUP(A58,'1·Proje Girişi'!$A:$B,2,FALSE),"")</f>
        <v/>
      </c>
      <c r="C58" s="7" t="n"/>
      <c r="D58" s="7" t="n"/>
      <c r="E58" s="8" t="n"/>
      <c r="F58" s="8" t="n"/>
      <c r="G58" s="10">
        <f>IF(OR(E58="",F58=""),"",F58-E58)</f>
        <v/>
      </c>
      <c r="H58" s="7" t="n"/>
      <c r="I58" s="7" t="n"/>
    </row>
    <row r="59" ht="22" customHeight="1">
      <c r="A59" s="7" t="n"/>
      <c r="B59" s="11">
        <f>IFERROR(VLOOKUP(A59,'1·Proje Girişi'!$A:$B,2,FALSE),"")</f>
        <v/>
      </c>
      <c r="C59" s="7" t="n"/>
      <c r="D59" s="7" t="n"/>
      <c r="E59" s="8" t="n"/>
      <c r="F59" s="8" t="n"/>
      <c r="G59" s="10">
        <f>IF(OR(E59="",F59=""),"",F59-E59)</f>
        <v/>
      </c>
      <c r="H59" s="7" t="n"/>
      <c r="I59" s="7" t="n"/>
    </row>
    <row r="60" ht="22" customHeight="1">
      <c r="A60" s="7" t="n"/>
      <c r="B60" s="11">
        <f>IFERROR(VLOOKUP(A60,'1·Proje Girişi'!$A:$B,2,FALSE),"")</f>
        <v/>
      </c>
      <c r="C60" s="7" t="n"/>
      <c r="D60" s="7" t="n"/>
      <c r="E60" s="8" t="n"/>
      <c r="F60" s="8" t="n"/>
      <c r="G60" s="10">
        <f>IF(OR(E60="",F60=""),"",F60-E60)</f>
        <v/>
      </c>
      <c r="H60" s="7" t="n"/>
      <c r="I60" s="7" t="n"/>
    </row>
    <row r="61" ht="22" customHeight="1">
      <c r="A61" s="7" t="n"/>
      <c r="B61" s="11">
        <f>IFERROR(VLOOKUP(A61,'1·Proje Girişi'!$A:$B,2,FALSE),"")</f>
        <v/>
      </c>
      <c r="C61" s="7" t="n"/>
      <c r="D61" s="7" t="n"/>
      <c r="E61" s="8" t="n"/>
      <c r="F61" s="8" t="n"/>
      <c r="G61" s="10">
        <f>IF(OR(E61="",F61=""),"",F61-E61)</f>
        <v/>
      </c>
      <c r="H61" s="7" t="n"/>
      <c r="I61" s="7" t="n"/>
    </row>
    <row r="62" ht="22" customHeight="1">
      <c r="A62" s="7" t="n"/>
      <c r="B62" s="11">
        <f>IFERROR(VLOOKUP(A62,'1·Proje Girişi'!$A:$B,2,FALSE),"")</f>
        <v/>
      </c>
      <c r="C62" s="7" t="n"/>
      <c r="D62" s="7" t="n"/>
      <c r="E62" s="8" t="n"/>
      <c r="F62" s="8" t="n"/>
      <c r="G62" s="10">
        <f>IF(OR(E62="",F62=""),"",F62-E62)</f>
        <v/>
      </c>
      <c r="H62" s="7" t="n"/>
      <c r="I62" s="7" t="n"/>
    </row>
    <row r="63" ht="22" customHeight="1">
      <c r="A63" s="7" t="n"/>
      <c r="B63" s="11">
        <f>IFERROR(VLOOKUP(A63,'1·Proje Girişi'!$A:$B,2,FALSE),"")</f>
        <v/>
      </c>
      <c r="C63" s="7" t="n"/>
      <c r="D63" s="7" t="n"/>
      <c r="E63" s="8" t="n"/>
      <c r="F63" s="8" t="n"/>
      <c r="G63" s="10">
        <f>IF(OR(E63="",F63=""),"",F63-E63)</f>
        <v/>
      </c>
      <c r="H63" s="7" t="n"/>
      <c r="I63" s="7" t="n"/>
    </row>
    <row r="64" ht="22" customHeight="1">
      <c r="A64" s="7" t="n"/>
      <c r="B64" s="11">
        <f>IFERROR(VLOOKUP(A64,'1·Proje Girişi'!$A:$B,2,FALSE),"")</f>
        <v/>
      </c>
      <c r="C64" s="7" t="n"/>
      <c r="D64" s="7" t="n"/>
      <c r="E64" s="8" t="n"/>
      <c r="F64" s="8" t="n"/>
      <c r="G64" s="10">
        <f>IF(OR(E64="",F64=""),"",F64-E64)</f>
        <v/>
      </c>
      <c r="H64" s="7" t="n"/>
      <c r="I64" s="7" t="n"/>
    </row>
    <row r="65" ht="22" customHeight="1">
      <c r="A65" s="7" t="n"/>
      <c r="B65" s="11">
        <f>IFERROR(VLOOKUP(A65,'1·Proje Girişi'!$A:$B,2,FALSE),"")</f>
        <v/>
      </c>
      <c r="C65" s="7" t="n"/>
      <c r="D65" s="7" t="n"/>
      <c r="E65" s="8" t="n"/>
      <c r="F65" s="8" t="n"/>
      <c r="G65" s="10">
        <f>IF(OR(E65="",F65=""),"",F65-E65)</f>
        <v/>
      </c>
      <c r="H65" s="7" t="n"/>
      <c r="I65" s="7" t="n"/>
    </row>
    <row r="66" ht="22" customHeight="1">
      <c r="A66" s="7" t="n"/>
      <c r="B66" s="11">
        <f>IFERROR(VLOOKUP(A66,'1·Proje Girişi'!$A:$B,2,FALSE),"")</f>
        <v/>
      </c>
      <c r="C66" s="7" t="n"/>
      <c r="D66" s="7" t="n"/>
      <c r="E66" s="8" t="n"/>
      <c r="F66" s="8" t="n"/>
      <c r="G66" s="10">
        <f>IF(OR(E66="",F66=""),"",F66-E66)</f>
        <v/>
      </c>
      <c r="H66" s="7" t="n"/>
      <c r="I66" s="7" t="n"/>
    </row>
    <row r="67" ht="22" customHeight="1">
      <c r="A67" s="7" t="n"/>
      <c r="B67" s="11">
        <f>IFERROR(VLOOKUP(A67,'1·Proje Girişi'!$A:$B,2,FALSE),"")</f>
        <v/>
      </c>
      <c r="C67" s="7" t="n"/>
      <c r="D67" s="7" t="n"/>
      <c r="E67" s="8" t="n"/>
      <c r="F67" s="8" t="n"/>
      <c r="G67" s="10">
        <f>IF(OR(E67="",F67=""),"",F67-E67)</f>
        <v/>
      </c>
      <c r="H67" s="7" t="n"/>
      <c r="I67" s="7" t="n"/>
    </row>
    <row r="68" ht="22" customHeight="1">
      <c r="A68" s="7" t="n"/>
      <c r="B68" s="11">
        <f>IFERROR(VLOOKUP(A68,'1·Proje Girişi'!$A:$B,2,FALSE),"")</f>
        <v/>
      </c>
      <c r="C68" s="7" t="n"/>
      <c r="D68" s="7" t="n"/>
      <c r="E68" s="8" t="n"/>
      <c r="F68" s="8" t="n"/>
      <c r="G68" s="10">
        <f>IF(OR(E68="",F68=""),"",F68-E68)</f>
        <v/>
      </c>
      <c r="H68" s="7" t="n"/>
      <c r="I68" s="7" t="n"/>
    </row>
    <row r="69" ht="22" customHeight="1">
      <c r="A69" s="7" t="n"/>
      <c r="B69" s="11">
        <f>IFERROR(VLOOKUP(A69,'1·Proje Girişi'!$A:$B,2,FALSE),"")</f>
        <v/>
      </c>
      <c r="C69" s="7" t="n"/>
      <c r="D69" s="7" t="n"/>
      <c r="E69" s="8" t="n"/>
      <c r="F69" s="8" t="n"/>
      <c r="G69" s="10">
        <f>IF(OR(E69="",F69=""),"",F69-E69)</f>
        <v/>
      </c>
      <c r="H69" s="7" t="n"/>
      <c r="I69" s="7" t="n"/>
    </row>
    <row r="70" ht="22" customHeight="1">
      <c r="A70" s="7" t="n"/>
      <c r="B70" s="11">
        <f>IFERROR(VLOOKUP(A70,'1·Proje Girişi'!$A:$B,2,FALSE),"")</f>
        <v/>
      </c>
      <c r="C70" s="7" t="n"/>
      <c r="D70" s="7" t="n"/>
      <c r="E70" s="8" t="n"/>
      <c r="F70" s="8" t="n"/>
      <c r="G70" s="10">
        <f>IF(OR(E70="",F70=""),"",F70-E70)</f>
        <v/>
      </c>
      <c r="H70" s="7" t="n"/>
      <c r="I70" s="7" t="n"/>
    </row>
    <row r="71" ht="22" customHeight="1">
      <c r="A71" s="7" t="n"/>
      <c r="B71" s="11">
        <f>IFERROR(VLOOKUP(A71,'1·Proje Girişi'!$A:$B,2,FALSE),"")</f>
        <v/>
      </c>
      <c r="C71" s="7" t="n"/>
      <c r="D71" s="7" t="n"/>
      <c r="E71" s="8" t="n"/>
      <c r="F71" s="8" t="n"/>
      <c r="G71" s="10">
        <f>IF(OR(E71="",F71=""),"",F71-E71)</f>
        <v/>
      </c>
      <c r="H71" s="7" t="n"/>
      <c r="I71" s="7" t="n"/>
    </row>
    <row r="72" ht="22" customHeight="1">
      <c r="A72" s="7" t="n"/>
      <c r="B72" s="11">
        <f>IFERROR(VLOOKUP(A72,'1·Proje Girişi'!$A:$B,2,FALSE),"")</f>
        <v/>
      </c>
      <c r="C72" s="7" t="n"/>
      <c r="D72" s="7" t="n"/>
      <c r="E72" s="8" t="n"/>
      <c r="F72" s="8" t="n"/>
      <c r="G72" s="10">
        <f>IF(OR(E72="",F72=""),"",F72-E72)</f>
        <v/>
      </c>
      <c r="H72" s="7" t="n"/>
      <c r="I72" s="7" t="n"/>
    </row>
    <row r="73" ht="22" customHeight="1">
      <c r="A73" s="7" t="n"/>
      <c r="B73" s="11">
        <f>IFERROR(VLOOKUP(A73,'1·Proje Girişi'!$A:$B,2,FALSE),"")</f>
        <v/>
      </c>
      <c r="C73" s="7" t="n"/>
      <c r="D73" s="7" t="n"/>
      <c r="E73" s="8" t="n"/>
      <c r="F73" s="8" t="n"/>
      <c r="G73" s="10">
        <f>IF(OR(E73="",F73=""),"",F73-E73)</f>
        <v/>
      </c>
      <c r="H73" s="7" t="n"/>
      <c r="I73" s="7" t="n"/>
    </row>
    <row r="74" ht="22" customHeight="1">
      <c r="A74" s="7" t="n"/>
      <c r="B74" s="11">
        <f>IFERROR(VLOOKUP(A74,'1·Proje Girişi'!$A:$B,2,FALSE),"")</f>
        <v/>
      </c>
      <c r="C74" s="7" t="n"/>
      <c r="D74" s="7" t="n"/>
      <c r="E74" s="8" t="n"/>
      <c r="F74" s="8" t="n"/>
      <c r="G74" s="10">
        <f>IF(OR(E74="",F74=""),"",F74-E74)</f>
        <v/>
      </c>
      <c r="H74" s="7" t="n"/>
      <c r="I74" s="7" t="n"/>
    </row>
    <row r="75" ht="22" customHeight="1">
      <c r="A75" s="7" t="n"/>
      <c r="B75" s="11">
        <f>IFERROR(VLOOKUP(A75,'1·Proje Girişi'!$A:$B,2,FALSE),"")</f>
        <v/>
      </c>
      <c r="C75" s="7" t="n"/>
      <c r="D75" s="7" t="n"/>
      <c r="E75" s="8" t="n"/>
      <c r="F75" s="8" t="n"/>
      <c r="G75" s="10">
        <f>IF(OR(E75="",F75=""),"",F75-E75)</f>
        <v/>
      </c>
      <c r="H75" s="7" t="n"/>
      <c r="I75" s="7" t="n"/>
    </row>
    <row r="76" ht="22" customHeight="1">
      <c r="A76" s="7" t="n"/>
      <c r="B76" s="11">
        <f>IFERROR(VLOOKUP(A76,'1·Proje Girişi'!$A:$B,2,FALSE),"")</f>
        <v/>
      </c>
      <c r="C76" s="7" t="n"/>
      <c r="D76" s="7" t="n"/>
      <c r="E76" s="8" t="n"/>
      <c r="F76" s="8" t="n"/>
      <c r="G76" s="10">
        <f>IF(OR(E76="",F76=""),"",F76-E76)</f>
        <v/>
      </c>
      <c r="H76" s="7" t="n"/>
      <c r="I76" s="7" t="n"/>
    </row>
    <row r="77" ht="22" customHeight="1">
      <c r="A77" s="7" t="n"/>
      <c r="B77" s="11">
        <f>IFERROR(VLOOKUP(A77,'1·Proje Girişi'!$A:$B,2,FALSE),"")</f>
        <v/>
      </c>
      <c r="C77" s="7" t="n"/>
      <c r="D77" s="7" t="n"/>
      <c r="E77" s="8" t="n"/>
      <c r="F77" s="8" t="n"/>
      <c r="G77" s="10">
        <f>IF(OR(E77="",F77=""),"",F77-E77)</f>
        <v/>
      </c>
      <c r="H77" s="7" t="n"/>
      <c r="I77" s="7" t="n"/>
    </row>
    <row r="78" ht="22" customHeight="1">
      <c r="A78" s="7" t="n"/>
      <c r="B78" s="11">
        <f>IFERROR(VLOOKUP(A78,'1·Proje Girişi'!$A:$B,2,FALSE),"")</f>
        <v/>
      </c>
      <c r="C78" s="7" t="n"/>
      <c r="D78" s="7" t="n"/>
      <c r="E78" s="8" t="n"/>
      <c r="F78" s="8" t="n"/>
      <c r="G78" s="10">
        <f>IF(OR(E78="",F78=""),"",F78-E78)</f>
        <v/>
      </c>
      <c r="H78" s="7" t="n"/>
      <c r="I78" s="7" t="n"/>
    </row>
    <row r="79" ht="22" customHeight="1">
      <c r="A79" s="7" t="n"/>
      <c r="B79" s="11">
        <f>IFERROR(VLOOKUP(A79,'1·Proje Girişi'!$A:$B,2,FALSE),"")</f>
        <v/>
      </c>
      <c r="C79" s="7" t="n"/>
      <c r="D79" s="7" t="n"/>
      <c r="E79" s="8" t="n"/>
      <c r="F79" s="8" t="n"/>
      <c r="G79" s="10">
        <f>IF(OR(E79="",F79=""),"",F79-E79)</f>
        <v/>
      </c>
      <c r="H79" s="7" t="n"/>
      <c r="I79" s="7" t="n"/>
    </row>
    <row r="80" ht="22" customHeight="1">
      <c r="A80" s="7" t="n"/>
      <c r="B80" s="11">
        <f>IFERROR(VLOOKUP(A80,'1·Proje Girişi'!$A:$B,2,FALSE),"")</f>
        <v/>
      </c>
      <c r="C80" s="7" t="n"/>
      <c r="D80" s="7" t="n"/>
      <c r="E80" s="8" t="n"/>
      <c r="F80" s="8" t="n"/>
      <c r="G80" s="10">
        <f>IF(OR(E80="",F80=""),"",F80-E80)</f>
        <v/>
      </c>
      <c r="H80" s="7" t="n"/>
      <c r="I80" s="7" t="n"/>
    </row>
    <row r="81" ht="22" customHeight="1">
      <c r="A81" s="7" t="n"/>
      <c r="B81" s="11">
        <f>IFERROR(VLOOKUP(A81,'1·Proje Girişi'!$A:$B,2,FALSE),"")</f>
        <v/>
      </c>
      <c r="C81" s="7" t="n"/>
      <c r="D81" s="7" t="n"/>
      <c r="E81" s="8" t="n"/>
      <c r="F81" s="8" t="n"/>
      <c r="G81" s="10">
        <f>IF(OR(E81="",F81=""),"",F81-E81)</f>
        <v/>
      </c>
      <c r="H81" s="7" t="n"/>
      <c r="I81" s="7" t="n"/>
    </row>
  </sheetData>
  <autoFilter ref="A1:I1"/>
  <conditionalFormatting sqref="A2:I81">
    <cfRule type="expression" priority="1" dxfId="0" stopIfTrue="0">
      <formula>MOD(ROW(),2)=0</formula>
    </cfRule>
  </conditionalFormatting>
  <conditionalFormatting sqref="C2:C81">
    <cfRule type="cellIs" priority="2" operator="equal" dxfId="2" stopIfTrue="1">
      <formula>"Mühendislik"</formula>
    </cfRule>
    <cfRule type="cellIs" priority="3" operator="equal" dxfId="3" stopIfTrue="1">
      <formula>"Satın Alma"</formula>
    </cfRule>
    <cfRule type="cellIs" priority="4" operator="equal" dxfId="5" stopIfTrue="1">
      <formula>"Üretim / İmalat"</formula>
    </cfRule>
    <cfRule type="cellIs" priority="5" operator="equal" dxfId="6" stopIfTrue="1">
      <formula>"Test + Montaj + Sevkiyat"</formula>
    </cfRule>
    <cfRule type="cellIs" priority="6" operator="equal" dxfId="4" stopIfTrue="1">
      <formula>"Özel Aşama"</formula>
    </cfRule>
  </conditionalFormatting>
  <dataValidations count="2">
    <dataValidation sqref="A2:A81" showDropDown="0" showInputMessage="0" showErrorMessage="0" allowBlank="1" errorTitle="Geçersiz proje" error="Listede olmayan proje kodu." type="list">
      <formula1>='1·Proje Girişi'!$A$2:$A$81</formula1>
    </dataValidation>
    <dataValidation sqref="C2:C81" showDropDown="0" showInputMessage="0" showErrorMessage="0" allowBlank="1" errorTitle="Geçersiz değer" error="Lütfen listeden bir değer seçin." prompt="Açılır listeden seçin" type="list">
      <formula1>"Mühendislik,Satın Alma,Üretim / İmalat,Test + Montaj + Sevkiyat,Özel Aşama"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B2" s="14" t="inlineStr">
        <is>
          <t>ÖZET PANO</t>
        </is>
      </c>
    </row>
    <row r="3">
      <c r="B3" s="15" t="inlineStr">
        <is>
          <t>Tüm sayfalardan canlı hesaplanır</t>
        </is>
      </c>
    </row>
    <row r="5">
      <c r="B5" s="16" t="inlineStr">
        <is>
          <t>PROJE DURUM DAĞILIMI</t>
        </is>
      </c>
      <c r="C5" s="17" t="n"/>
    </row>
    <row r="6">
      <c r="B6" s="18" t="inlineStr">
        <is>
          <t>Taslak</t>
        </is>
      </c>
      <c r="C6" s="19">
        <f>COUNTIF('1·Proje Girişi'!$I:$I,B6)</f>
        <v/>
      </c>
    </row>
    <row r="7">
      <c r="B7" s="18" t="inlineStr">
        <is>
          <t>Onay Bekliyor</t>
        </is>
      </c>
      <c r="C7" s="19">
        <f>COUNTIF('1·Proje Girişi'!$I:$I,B7)</f>
        <v/>
      </c>
    </row>
    <row r="8">
      <c r="B8" s="18" t="inlineStr">
        <is>
          <t>Mühendislik Sürecinde</t>
        </is>
      </c>
      <c r="C8" s="19">
        <f>COUNTIF('1·Proje Girişi'!$I:$I,B8)</f>
        <v/>
      </c>
    </row>
    <row r="9">
      <c r="B9" s="18" t="inlineStr">
        <is>
          <t>Mühendislik Tamamlandı</t>
        </is>
      </c>
      <c r="C9" s="19">
        <f>COUNTIF('1·Proje Girişi'!$I:$I,B9)</f>
        <v/>
      </c>
    </row>
    <row r="10">
      <c r="B10" s="18" t="inlineStr">
        <is>
          <t>Satın Alma Sürecinde</t>
        </is>
      </c>
      <c r="C10" s="19">
        <f>COUNTIF('1·Proje Girişi'!$I:$I,B10)</f>
        <v/>
      </c>
    </row>
    <row r="11">
      <c r="B11" s="18" t="inlineStr">
        <is>
          <t>Tamamlandı</t>
        </is>
      </c>
      <c r="C11" s="19">
        <f>COUNTIF('1·Proje Girişi'!$I:$I,B11)</f>
        <v/>
      </c>
    </row>
    <row r="12">
      <c r="B12" s="18" t="inlineStr">
        <is>
          <t>İptal</t>
        </is>
      </c>
      <c r="C12" s="19">
        <f>COUNTIF('1·Proje Girişi'!$I:$I,B12)</f>
        <v/>
      </c>
    </row>
    <row r="13">
      <c r="B13" s="20" t="inlineStr">
        <is>
          <t>TOPLAM PROJE</t>
        </is>
      </c>
      <c r="C13" s="19">
        <f>COUNTA('1·Proje Girişi'!$A$2:$A$81)</f>
        <v/>
      </c>
    </row>
    <row r="15">
      <c r="B15" s="16" t="inlineStr">
        <is>
          <t>UYARILAR</t>
        </is>
      </c>
      <c r="C15" s="17" t="n"/>
    </row>
    <row r="16">
      <c r="B16" s="18" t="inlineStr">
        <is>
          <t>Gecikmiş proje</t>
        </is>
      </c>
      <c r="C16" s="19">
        <f>COUNTIF('1·Proje Girişi'!$L:$L,"GECİKTİ")</f>
        <v/>
      </c>
    </row>
    <row r="17">
      <c r="B17" s="18" t="inlineStr">
        <is>
          <t>Mühendislik onayı bekleyen</t>
        </is>
      </c>
      <c r="C17" s="19">
        <f>COUNTIF('2·Mühendislik'!$C:$C,"Onay Bekliyor")</f>
        <v/>
      </c>
    </row>
    <row r="18">
      <c r="B18" s="18" t="inlineStr">
        <is>
          <t>Revizyon istenen çizim</t>
        </is>
      </c>
      <c r="C18" s="19">
        <f>COUNTIF('2·Mühendislik'!$C:$C,"Revizyon İstendi")</f>
        <v/>
      </c>
    </row>
    <row r="19">
      <c r="B19" s="18" t="inlineStr">
        <is>
          <t>Satın alma onayı bekleyen</t>
        </is>
      </c>
      <c r="C19" s="19">
        <f>COUNTIF('4·Satın Alma'!$L:$L,"bekliyor")</f>
        <v/>
      </c>
    </row>
    <row r="20">
      <c r="B20" s="18" t="inlineStr">
        <is>
          <t>Arşen onayı gereken teklif</t>
        </is>
      </c>
      <c r="C20" s="19">
        <f>COUNTIF('4·Satın Alma'!$G:$G,"Arşen Onayı Gerekli")</f>
        <v/>
      </c>
    </row>
    <row r="22">
      <c r="B22" s="16" t="inlineStr">
        <is>
          <t>SATIN ALMA — KAZANAN TEKLİF TUTARI (para birimi bazlı)</t>
        </is>
      </c>
      <c r="C22" s="17" t="n"/>
    </row>
    <row r="23">
      <c r="B23" s="18" t="inlineStr">
        <is>
          <t>EUR</t>
        </is>
      </c>
      <c r="C23" s="21">
        <f>SUMIFS('4·Satın Alma'!$D:$D,'4·Satın Alma'!$E:$E,"EUR",'4·Satın Alma'!$K:$K,"Evet")</f>
        <v/>
      </c>
    </row>
    <row r="24">
      <c r="B24" s="18" t="inlineStr">
        <is>
          <t>TRY</t>
        </is>
      </c>
      <c r="C24" s="21">
        <f>SUMIFS('4·Satın Alma'!$D:$D,'4·Satın Alma'!$E:$E,"TRY",'4·Satın Alma'!$K:$K,"Evet")</f>
        <v/>
      </c>
    </row>
    <row r="25">
      <c r="B25" s="18" t="inlineStr">
        <is>
          <t>USD</t>
        </is>
      </c>
      <c r="C25" s="21">
        <f>SUMIFS('4·Satın Alma'!$D:$D,'4·Satın Alma'!$E:$E,"USD",'4·Satın Alma'!$K:$K,"Evet")</f>
        <v/>
      </c>
    </row>
  </sheetData>
  <mergeCells count="3">
    <mergeCell ref="B22:C22"/>
    <mergeCell ref="B5:C5"/>
    <mergeCell ref="B15:C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0" customWidth="1" min="5" max="5"/>
    <col width="12" customWidth="1" min="6" max="6"/>
  </cols>
  <sheetData>
    <row r="2">
      <c r="B2" s="22" t="inlineStr">
        <is>
          <t>PROJE DURUMU → İLERLEME</t>
        </is>
      </c>
      <c r="E2" s="22" t="inlineStr">
        <is>
          <t>PARA BİRİMİ → ONAY EŞİĞİ</t>
        </is>
      </c>
    </row>
    <row r="3">
      <c r="B3" s="23" t="inlineStr">
        <is>
          <t>Taslak</t>
        </is>
      </c>
      <c r="C3" s="24" t="n">
        <v>0</v>
      </c>
      <c r="E3" s="23" t="inlineStr">
        <is>
          <t>EUR</t>
        </is>
      </c>
      <c r="F3" s="25" t="n">
        <v>3000</v>
      </c>
    </row>
    <row r="4">
      <c r="B4" s="23" t="inlineStr">
        <is>
          <t>Onay Bekliyor</t>
        </is>
      </c>
      <c r="C4" s="24" t="n">
        <v>0.1</v>
      </c>
      <c r="E4" s="23" t="inlineStr">
        <is>
          <t>USD</t>
        </is>
      </c>
      <c r="F4" s="25" t="n">
        <v>3000</v>
      </c>
    </row>
    <row r="5">
      <c r="B5" s="23" t="inlineStr">
        <is>
          <t>Mühendislik Sürecinde</t>
        </is>
      </c>
      <c r="C5" s="24" t="n">
        <v>0.35</v>
      </c>
      <c r="E5" s="23" t="inlineStr">
        <is>
          <t>TRY</t>
        </is>
      </c>
      <c r="F5" s="25" t="n">
        <v>150000</v>
      </c>
    </row>
    <row r="6">
      <c r="B6" s="23" t="inlineStr">
        <is>
          <t>Mühendislik Tamamlandı</t>
        </is>
      </c>
      <c r="C6" s="24" t="n">
        <v>0.55</v>
      </c>
    </row>
    <row r="7">
      <c r="B7" s="23" t="inlineStr">
        <is>
          <t>Satın Alma Sürecinde</t>
        </is>
      </c>
      <c r="C7" s="24" t="n">
        <v>0.8</v>
      </c>
    </row>
    <row r="8">
      <c r="B8" s="23" t="inlineStr">
        <is>
          <t>Tamamlandı</t>
        </is>
      </c>
      <c r="C8" s="24" t="n">
        <v>1</v>
      </c>
    </row>
    <row r="9">
      <c r="B9" s="23" t="inlineStr">
        <is>
          <t>İptal</t>
        </is>
      </c>
      <c r="C9" s="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2026-06-29T08:33:45Z</dcterms:created>
  <dcterms:modified xsi:type="dcterms:W3CDTF">2026-06-29T08:33:45Z</dcterms:modified>
</cp:coreProperties>
</file>