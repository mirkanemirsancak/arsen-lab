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isteler" sheetId="2" state="hidden" r:id="rId2"/>
    <sheet name="Projeler" sheetId="3" state="visible" r:id="rId3"/>
    <sheet name="Muhendislik" sheetId="4" state="visible" r:id="rId4"/>
    <sheet name="Ekipman" sheetId="5" state="visible" r:id="rId5"/>
    <sheet name="Teklifler" sheetId="6" state="visible" r:id="rId6"/>
    <sheet name="ZamanCizelges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F9CF9"/>
      <sz val="12"/>
    </font>
    <font>
      <color rgb="00666666"/>
      <sz val="9"/>
    </font>
    <font>
      <b val="1"/>
      <color rgb="00FFFFFF"/>
      <sz val="8"/>
    </font>
    <font>
      <color rgb="004F9CF9"/>
      <sz val="1"/>
    </font>
    <font>
      <b val="1"/>
      <color rgb="002A3447"/>
      <sz val="16"/>
    </font>
    <font>
      <b val="1"/>
      <color rgb="00FFFFFF"/>
      <sz val="10"/>
    </font>
    <font>
      <b val="1"/>
      <color rgb="002A3447"/>
      <sz val="22"/>
    </font>
    <font>
      <sz val="10"/>
    </font>
  </fonts>
  <fills count="4">
    <fill>
      <patternFill/>
    </fill>
    <fill>
      <patternFill patternType="gray125"/>
    </fill>
    <fill>
      <patternFill patternType="solid">
        <fgColor rgb="002A3447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ADBD8"/>
        </patternFill>
      </fill>
    </dxf>
    <dxf>
      <fill>
        <patternFill patternType="solid">
          <fgColor rgb="00D9F2E6"/>
        </patternFill>
      </fill>
    </dxf>
    <dxf>
      <fill>
        <patternFill patternType="solid">
          <fgColor rgb="00FDEBD0"/>
        </patternFill>
      </fill>
    </dxf>
    <dxf>
      <fill>
        <patternFill patternType="solid">
          <fgColor rgb="004F9C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SYNTEGRA · Proje Takip Panosu</t>
        </is>
      </c>
    </row>
    <row r="3">
      <c r="B3" s="2" t="inlineStr">
        <is>
          <t>Tüm değerler diğer sayfalardan formülle beslenir — elle güncelleme gerekmez.</t>
        </is>
      </c>
    </row>
    <row r="5">
      <c r="B5" s="3" t="inlineStr">
        <is>
          <t>Toplam Proje</t>
        </is>
      </c>
      <c r="C5" s="3" t="inlineStr">
        <is>
          <t>Aktif Proje</t>
        </is>
      </c>
      <c r="D5" s="3" t="inlineStr">
        <is>
          <t>Geciken Proje</t>
        </is>
      </c>
      <c r="E5" s="3" t="inlineStr">
        <is>
          <t>Onay Bekleyen Mühendislik</t>
        </is>
      </c>
      <c r="F5" s="3" t="inlineStr">
        <is>
          <t>Arşen Onayı Bekleyen Teklif</t>
        </is>
      </c>
      <c r="G5" s="3" t="inlineStr">
        <is>
          <t>Tamamlanan Proje</t>
        </is>
      </c>
    </row>
    <row r="6">
      <c r="B6" s="4">
        <f>COUNTA(Projeler!A2:A200)</f>
        <v/>
      </c>
      <c r="C6" s="4">
        <f>COUNTA(Projeler!A2:A200)-COUNTIF(Projeler!G2:G200,"Tamamlandı")-COUNTIF(Projeler!G2:G200,"İptal")</f>
        <v/>
      </c>
      <c r="D6" s="4">
        <f>COUNTIF(Projeler!I2:I200,"GECİKTİ")</f>
        <v/>
      </c>
      <c r="E6" s="4">
        <f>COUNTIF(Muhendislik!B2:B200,"Onay Bekliyor")</f>
        <v/>
      </c>
      <c r="F6" s="4">
        <f>COUNTIF(Teklifler!M2:M300,"bekliyor")</f>
        <v/>
      </c>
      <c r="G6" s="4">
        <f>COUNTIF(Projeler!G2:G200,"Tamamlandı")</f>
        <v/>
      </c>
    </row>
    <row r="9">
      <c r="B9" s="5" t="inlineStr">
        <is>
          <t>Durum Dağılımı</t>
        </is>
      </c>
      <c r="E9" s="5" t="inlineStr">
        <is>
          <t>Eşikler (Listeler sayfasından değiştirilebilir)</t>
        </is>
      </c>
    </row>
    <row r="10">
      <c r="B10" s="6" t="inlineStr">
        <is>
          <t>Taslak</t>
        </is>
      </c>
      <c r="C10" s="6">
        <f>COUNTIF(Projeler!G2:G200,"Taslak")</f>
        <v/>
      </c>
      <c r="E10" s="6" t="inlineStr">
        <is>
          <t>EUR</t>
        </is>
      </c>
      <c r="F10" s="6">
        <f>Listeler!J2</f>
        <v/>
      </c>
    </row>
    <row r="11">
      <c r="B11" s="6" t="inlineStr">
        <is>
          <t>Onay Bekliyor</t>
        </is>
      </c>
      <c r="C11" s="6">
        <f>COUNTIF(Projeler!G2:G200,"Onay Bekliyor")</f>
        <v/>
      </c>
      <c r="E11" s="6" t="inlineStr">
        <is>
          <t>TRY</t>
        </is>
      </c>
      <c r="F11" s="6">
        <f>Listeler!J3</f>
        <v/>
      </c>
    </row>
    <row r="12">
      <c r="B12" s="6" t="inlineStr">
        <is>
          <t>Mühendislik Sürecinde</t>
        </is>
      </c>
      <c r="C12" s="6">
        <f>COUNTIF(Projeler!G2:G200,"Mühendislik Sürecinde")</f>
        <v/>
      </c>
      <c r="E12" s="6" t="inlineStr">
        <is>
          <t>USD</t>
        </is>
      </c>
      <c r="F12" s="6">
        <f>Listeler!J4</f>
        <v/>
      </c>
    </row>
    <row r="13">
      <c r="B13" s="6" t="inlineStr">
        <is>
          <t>Mühendislik Tamamlandı</t>
        </is>
      </c>
      <c r="C13" s="6">
        <f>COUNTIF(Projeler!G2:G200,"Mühendislik Tamamlandı")</f>
        <v/>
      </c>
    </row>
    <row r="14">
      <c r="B14" s="6" t="inlineStr">
        <is>
          <t>Satın Alma Sürecinde</t>
        </is>
      </c>
      <c r="C14" s="6">
        <f>COUNTIF(Projeler!G2:G200,"Satın Alma Sürecinde")</f>
        <v/>
      </c>
    </row>
    <row r="15">
      <c r="B15" s="6" t="inlineStr">
        <is>
          <t>Tamamlandı</t>
        </is>
      </c>
      <c r="C15" s="6">
        <f>COUNTIF(Projeler!G2:G200,"Tamamlandı")</f>
        <v/>
      </c>
    </row>
    <row r="16">
      <c r="B16" s="6" t="inlineStr">
        <is>
          <t>İptal</t>
        </is>
      </c>
      <c r="C16" s="6">
        <f>COUNTIF(Projeler!G2:G200,"İptal")</f>
        <v/>
      </c>
    </row>
    <row r="18">
      <c r="B18" s="5" t="inlineStr">
        <is>
          <t>Kullanım Notları</t>
        </is>
      </c>
    </row>
    <row r="19">
      <c r="B19" s="7" t="inlineStr">
        <is>
          <t>1. Projeler sayfasına her yeni projeyi girin — Kalan Gün ve Gecikme otomatik hesaplanır.</t>
        </is>
      </c>
    </row>
    <row r="20">
      <c r="B20" s="7" t="inlineStr">
        <is>
          <t>2. Mühendislik durumunu güncelleyin; Onaylandı olunca Ekipman ve Teklifler doldurulur.</t>
        </is>
      </c>
    </row>
    <row r="21">
      <c r="B21" s="7" t="inlineStr">
        <is>
          <t>3. Teklifler'de Kazanan = Evet işaretleyin — kümülatif eşik kontrolü otomatik çalışır.</t>
        </is>
      </c>
    </row>
    <row r="22">
      <c r="B22" s="7" t="inlineStr">
        <is>
          <t>4. 'ARŞEN ONAYI GEREKLİ' uyarısı çıkarsa Onay Durumu sütununu elle güncelleyin.</t>
        </is>
      </c>
    </row>
    <row r="23">
      <c r="B23" s="7" t="inlineStr">
        <is>
          <t>5. ZamanCizelgesi'ne başlangıç/bitiş girin — Gantt çubuğu kendiliğinden boyanır.</t>
        </is>
      </c>
    </row>
    <row r="24">
      <c r="B24" s="7" t="inlineStr">
        <is>
          <t>6. Örnek satırlar (ARS-2026-001-D) silinebilir.</t>
        </is>
      </c>
    </row>
    <row r="25">
      <c r="B25" s="7" t="inlineStr">
        <is>
          <t>7. Web uygulamasından veri aktarmak için: sayfadaki tabloyu kopyalayıp ilgili sekmeye yapıştırın.</t>
        </is>
      </c>
    </row>
  </sheetData>
  <mergeCells count="6">
    <mergeCell ref="D5"/>
    <mergeCell ref="B5"/>
    <mergeCell ref="F5"/>
    <mergeCell ref="C5"/>
    <mergeCell ref="G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P_DURUM</t>
        </is>
      </c>
      <c r="B1" t="inlineStr">
        <is>
          <t>M_DURUM</t>
        </is>
      </c>
      <c r="C1" t="inlineStr">
        <is>
          <t>T_ONAY</t>
        </is>
      </c>
      <c r="D1" t="inlineStr">
        <is>
          <t>T_DURUM</t>
        </is>
      </c>
      <c r="E1" t="inlineStr">
        <is>
          <t>PARA</t>
        </is>
      </c>
      <c r="F1" t="inlineStr">
        <is>
          <t>BODY</t>
        </is>
      </c>
      <c r="G1" t="inlineStr">
        <is>
          <t>EVETH</t>
        </is>
      </c>
      <c r="I1" t="inlineStr">
        <is>
          <t>EŞİKLER</t>
        </is>
      </c>
    </row>
    <row r="2">
      <c r="A2" t="inlineStr">
        <is>
          <t>Taslak</t>
        </is>
      </c>
      <c r="B2" t="inlineStr">
        <is>
          <t>Taslak</t>
        </is>
      </c>
      <c r="E2" t="inlineStr">
        <is>
          <t>EUR</t>
        </is>
      </c>
      <c r="F2" t="inlineStr">
        <is>
          <t>Gaz Rezerv</t>
        </is>
      </c>
      <c r="I2" t="inlineStr">
        <is>
          <t>EUR</t>
        </is>
      </c>
      <c r="J2" t="n">
        <v>3000</v>
      </c>
    </row>
    <row r="3">
      <c r="A3" t="inlineStr">
        <is>
          <t>Onay Bekliyor</t>
        </is>
      </c>
      <c r="B3" t="inlineStr">
        <is>
          <t>Onay Bekliyor</t>
        </is>
      </c>
      <c r="C3" t="inlineStr">
        <is>
          <t>bekliyor</t>
        </is>
      </c>
      <c r="D3" t="inlineStr">
        <is>
          <t>Sipariş Verildi</t>
        </is>
      </c>
      <c r="E3" t="inlineStr">
        <is>
          <t>TRY</t>
        </is>
      </c>
      <c r="F3" t="inlineStr">
        <is>
          <t>Sıvı Rezerv</t>
        </is>
      </c>
      <c r="G3" t="inlineStr">
        <is>
          <t>Evet</t>
        </is>
      </c>
      <c r="I3" t="inlineStr">
        <is>
          <t>TRY</t>
        </is>
      </c>
      <c r="J3" t="n">
        <v>150000</v>
      </c>
    </row>
    <row r="4">
      <c r="A4" t="inlineStr">
        <is>
          <t>Mühendislik Sürecinde</t>
        </is>
      </c>
      <c r="B4" t="inlineStr">
        <is>
          <t>Onaylandı</t>
        </is>
      </c>
      <c r="C4" t="inlineStr">
        <is>
          <t>onaylandı</t>
        </is>
      </c>
      <c r="D4" t="inlineStr">
        <is>
          <t>Yolda</t>
        </is>
      </c>
      <c r="E4" t="inlineStr">
        <is>
          <t>USD</t>
        </is>
      </c>
      <c r="F4" t="inlineStr">
        <is>
          <t>Ekstraktör</t>
        </is>
      </c>
      <c r="G4" t="inlineStr">
        <is>
          <t>Hayır</t>
        </is>
      </c>
      <c r="I4" t="inlineStr">
        <is>
          <t>USD</t>
        </is>
      </c>
      <c r="J4" t="n">
        <v>3000</v>
      </c>
    </row>
    <row r="5">
      <c r="A5" t="inlineStr">
        <is>
          <t>Mühendislik Tamamlandı</t>
        </is>
      </c>
      <c r="B5" t="inlineStr">
        <is>
          <t>Revizyon İstendi</t>
        </is>
      </c>
      <c r="C5" t="inlineStr">
        <is>
          <t>reddedildi</t>
        </is>
      </c>
      <c r="D5" t="inlineStr">
        <is>
          <t>Teslim Alındı</t>
        </is>
      </c>
      <c r="F5" t="inlineStr">
        <is>
          <t>Seperatör</t>
        </is>
      </c>
    </row>
    <row r="6">
      <c r="A6" t="inlineStr">
        <is>
          <t>Satın Alma Sürecinde</t>
        </is>
      </c>
      <c r="C6" t="inlineStr">
        <is>
          <t>doğrudan</t>
        </is>
      </c>
      <c r="D6" t="inlineStr">
        <is>
          <t>İptal</t>
        </is>
      </c>
      <c r="F6" t="inlineStr">
        <is>
          <t>Eşanjör</t>
        </is>
      </c>
    </row>
    <row r="7">
      <c r="A7" t="inlineStr">
        <is>
          <t>Tamamlandı</t>
        </is>
      </c>
      <c r="F7" t="inlineStr">
        <is>
          <t>Yağ Kazanı</t>
        </is>
      </c>
    </row>
    <row r="8">
      <c r="A8" t="inlineStr">
        <is>
          <t>İptal</t>
        </is>
      </c>
      <c r="F8" t="inlineStr">
        <is>
          <t>Ön Isıtıcı</t>
        </is>
      </c>
    </row>
    <row r="9">
      <c r="F9" t="inlineStr">
        <is>
          <t>Pompa</t>
        </is>
      </c>
    </row>
    <row r="10">
      <c r="F10" t="inlineStr">
        <is>
          <t>Kompresör</t>
        </is>
      </c>
    </row>
    <row r="11">
      <c r="F11" t="inlineStr">
        <is>
          <t>Chiller</t>
        </is>
      </c>
    </row>
    <row r="12">
      <c r="F12" t="inlineStr">
        <is>
          <t>Booster</t>
        </is>
      </c>
    </row>
    <row r="13">
      <c r="F13" t="inlineStr">
        <is>
          <t>Borulama</t>
        </is>
      </c>
    </row>
    <row r="14">
      <c r="F14" t="inlineStr">
        <is>
          <t>Vana</t>
        </is>
      </c>
    </row>
    <row r="15">
      <c r="F15" t="inlineStr">
        <is>
          <t>Filtre</t>
        </is>
      </c>
    </row>
    <row r="16">
      <c r="F16" t="inlineStr">
        <is>
          <t>BPR</t>
        </is>
      </c>
    </row>
    <row r="17">
      <c r="F17" t="inlineStr">
        <is>
          <t>Otomasyon</t>
        </is>
      </c>
    </row>
    <row r="18">
      <c r="F18" t="inlineStr">
        <is>
          <t>Sensörler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6" customWidth="1" min="4" max="4"/>
    <col width="12" customWidth="1" min="5" max="5"/>
    <col width="12" customWidth="1" min="6" max="6"/>
    <col width="22" customWidth="1" min="7" max="7"/>
    <col width="10" customWidth="1" min="8" max="8"/>
    <col width="12" customWidth="1" min="9" max="9"/>
    <col width="30" customWidth="1" min="10" max="10"/>
    <col width="14" customWidth="1" min="11" max="11"/>
    <col width="12" customWidth="1" min="12" max="12"/>
  </cols>
  <sheetData>
    <row r="1">
      <c r="A1" s="8" t="inlineStr">
        <is>
          <t>Proje Kodu</t>
        </is>
      </c>
      <c r="B1" s="8" t="inlineStr">
        <is>
          <t>Proje Adı</t>
        </is>
      </c>
      <c r="C1" s="8" t="inlineStr">
        <is>
          <t>Müşteri</t>
        </is>
      </c>
      <c r="D1" s="8" t="inlineStr">
        <is>
          <t>Sorumlu</t>
        </is>
      </c>
      <c r="E1" s="8" t="inlineStr">
        <is>
          <t>Başlangıç</t>
        </is>
      </c>
      <c r="F1" s="8" t="inlineStr">
        <is>
          <t>Termin</t>
        </is>
      </c>
      <c r="G1" s="8" t="inlineStr">
        <is>
          <t>Durum</t>
        </is>
      </c>
      <c r="H1" s="8" t="inlineStr">
        <is>
          <t>Kalan Gün</t>
        </is>
      </c>
      <c r="I1" s="8" t="inlineStr">
        <is>
          <t>Gecikme?</t>
        </is>
      </c>
      <c r="J1" s="8" t="inlineStr">
        <is>
          <t>Açıklama</t>
        </is>
      </c>
      <c r="K1" s="8" t="inlineStr">
        <is>
          <t>Oluşturan</t>
        </is>
      </c>
      <c r="L1" s="8" t="inlineStr">
        <is>
          <t>Oluşturma</t>
        </is>
      </c>
    </row>
    <row r="2">
      <c r="A2" s="6" t="inlineStr">
        <is>
          <t>ARS-2026-001-D</t>
        </is>
      </c>
      <c r="B2" s="6" t="inlineStr">
        <is>
          <t>Örnek Proje (silinebilir)</t>
        </is>
      </c>
      <c r="C2" s="6" t="inlineStr">
        <is>
          <t>Deneme Müşteri</t>
        </is>
      </c>
      <c r="D2" s="6" t="inlineStr">
        <is>
          <t>Mirkan</t>
        </is>
      </c>
      <c r="E2" s="11" t="n">
        <v>46174</v>
      </c>
      <c r="F2" s="11" t="n">
        <v>46387</v>
      </c>
      <c r="G2" s="6" t="inlineStr">
        <is>
          <t>Mühendislik Sürecinde</t>
        </is>
      </c>
      <c r="H2" s="6">
        <f>IF($F2="","",$F2-TODAY())</f>
        <v/>
      </c>
      <c r="I2" s="6">
        <f>IF($F2="","",IF(AND($G2&lt;&gt;"Tamamlandı",$G2&lt;&gt;"İptal",$F2&lt;TODAY()),"GECİKTİ","-"))</f>
        <v/>
      </c>
      <c r="J2" s="6" t="n"/>
      <c r="K2" s="6" t="n"/>
      <c r="L2" s="11" t="n"/>
    </row>
    <row r="3">
      <c r="A3" s="6" t="n"/>
      <c r="B3" s="6" t="n"/>
      <c r="C3" s="6" t="n"/>
      <c r="D3" s="6" t="n"/>
      <c r="E3" s="11" t="n"/>
      <c r="F3" s="11" t="n"/>
      <c r="G3" s="6" t="n"/>
      <c r="H3" s="6">
        <f>IF($F3="","",$F3-TODAY())</f>
        <v/>
      </c>
      <c r="I3" s="6">
        <f>IF($F3="","",IF(AND($G3&lt;&gt;"Tamamlandı",$G3&lt;&gt;"İptal",$F3&lt;TODAY()),"GECİKTİ","-"))</f>
        <v/>
      </c>
      <c r="J3" s="6" t="n"/>
      <c r="K3" s="6" t="n"/>
      <c r="L3" s="11" t="n"/>
    </row>
    <row r="4">
      <c r="A4" s="6" t="n"/>
      <c r="B4" s="6" t="n"/>
      <c r="C4" s="6" t="n"/>
      <c r="D4" s="6" t="n"/>
      <c r="E4" s="11" t="n"/>
      <c r="F4" s="11" t="n"/>
      <c r="G4" s="6" t="n"/>
      <c r="H4" s="6">
        <f>IF($F4="","",$F4-TODAY())</f>
        <v/>
      </c>
      <c r="I4" s="6">
        <f>IF($F4="","",IF(AND($G4&lt;&gt;"Tamamlandı",$G4&lt;&gt;"İptal",$F4&lt;TODAY()),"GECİKTİ","-"))</f>
        <v/>
      </c>
      <c r="J4" s="6" t="n"/>
      <c r="K4" s="6" t="n"/>
      <c r="L4" s="11" t="n"/>
    </row>
    <row r="5">
      <c r="A5" s="6" t="n"/>
      <c r="B5" s="6" t="n"/>
      <c r="C5" s="6" t="n"/>
      <c r="D5" s="6" t="n"/>
      <c r="E5" s="11" t="n"/>
      <c r="F5" s="11" t="n"/>
      <c r="G5" s="6" t="n"/>
      <c r="H5" s="6">
        <f>IF($F5="","",$F5-TODAY())</f>
        <v/>
      </c>
      <c r="I5" s="6">
        <f>IF($F5="","",IF(AND($G5&lt;&gt;"Tamamlandı",$G5&lt;&gt;"İptal",$F5&lt;TODAY()),"GECİKTİ","-"))</f>
        <v/>
      </c>
      <c r="J5" s="6" t="n"/>
      <c r="K5" s="6" t="n"/>
      <c r="L5" s="11" t="n"/>
    </row>
    <row r="6">
      <c r="A6" s="6" t="n"/>
      <c r="B6" s="6" t="n"/>
      <c r="C6" s="6" t="n"/>
      <c r="D6" s="6" t="n"/>
      <c r="E6" s="11" t="n"/>
      <c r="F6" s="11" t="n"/>
      <c r="G6" s="6" t="n"/>
      <c r="H6" s="6">
        <f>IF($F6="","",$F6-TODAY())</f>
        <v/>
      </c>
      <c r="I6" s="6">
        <f>IF($F6="","",IF(AND($G6&lt;&gt;"Tamamlandı",$G6&lt;&gt;"İptal",$F6&lt;TODAY()),"GECİKTİ","-"))</f>
        <v/>
      </c>
      <c r="J6" s="6" t="n"/>
      <c r="K6" s="6" t="n"/>
      <c r="L6" s="11" t="n"/>
    </row>
    <row r="7">
      <c r="A7" s="6" t="n"/>
      <c r="B7" s="6" t="n"/>
      <c r="C7" s="6" t="n"/>
      <c r="D7" s="6" t="n"/>
      <c r="E7" s="11" t="n"/>
      <c r="F7" s="11" t="n"/>
      <c r="G7" s="6" t="n"/>
      <c r="H7" s="6">
        <f>IF($F7="","",$F7-TODAY())</f>
        <v/>
      </c>
      <c r="I7" s="6">
        <f>IF($F7="","",IF(AND($G7&lt;&gt;"Tamamlandı",$G7&lt;&gt;"İptal",$F7&lt;TODAY()),"GECİKTİ","-"))</f>
        <v/>
      </c>
      <c r="J7" s="6" t="n"/>
      <c r="K7" s="6" t="n"/>
      <c r="L7" s="11" t="n"/>
    </row>
    <row r="8">
      <c r="A8" s="6" t="n"/>
      <c r="B8" s="6" t="n"/>
      <c r="C8" s="6" t="n"/>
      <c r="D8" s="6" t="n"/>
      <c r="E8" s="11" t="n"/>
      <c r="F8" s="11" t="n"/>
      <c r="G8" s="6" t="n"/>
      <c r="H8" s="6">
        <f>IF($F8="","",$F8-TODAY())</f>
        <v/>
      </c>
      <c r="I8" s="6">
        <f>IF($F8="","",IF(AND($G8&lt;&gt;"Tamamlandı",$G8&lt;&gt;"İptal",$F8&lt;TODAY()),"GECİKTİ","-"))</f>
        <v/>
      </c>
      <c r="J8" s="6" t="n"/>
      <c r="K8" s="6" t="n"/>
      <c r="L8" s="11" t="n"/>
    </row>
    <row r="9">
      <c r="A9" s="6" t="n"/>
      <c r="B9" s="6" t="n"/>
      <c r="C9" s="6" t="n"/>
      <c r="D9" s="6" t="n"/>
      <c r="E9" s="11" t="n"/>
      <c r="F9" s="11" t="n"/>
      <c r="G9" s="6" t="n"/>
      <c r="H9" s="6">
        <f>IF($F9="","",$F9-TODAY())</f>
        <v/>
      </c>
      <c r="I9" s="6">
        <f>IF($F9="","",IF(AND($G9&lt;&gt;"Tamamlandı",$G9&lt;&gt;"İptal",$F9&lt;TODAY()),"GECİKTİ","-"))</f>
        <v/>
      </c>
      <c r="J9" s="6" t="n"/>
      <c r="K9" s="6" t="n"/>
      <c r="L9" s="11" t="n"/>
    </row>
    <row r="10">
      <c r="A10" s="6" t="n"/>
      <c r="B10" s="6" t="n"/>
      <c r="C10" s="6" t="n"/>
      <c r="D10" s="6" t="n"/>
      <c r="E10" s="11" t="n"/>
      <c r="F10" s="11" t="n"/>
      <c r="G10" s="6" t="n"/>
      <c r="H10" s="6">
        <f>IF($F10="","",$F10-TODAY())</f>
        <v/>
      </c>
      <c r="I10" s="6">
        <f>IF($F10="","",IF(AND($G10&lt;&gt;"Tamamlandı",$G10&lt;&gt;"İptal",$F10&lt;TODAY()),"GECİKTİ","-"))</f>
        <v/>
      </c>
      <c r="J10" s="6" t="n"/>
      <c r="K10" s="6" t="n"/>
      <c r="L10" s="11" t="n"/>
    </row>
    <row r="11">
      <c r="A11" s="6" t="n"/>
      <c r="B11" s="6" t="n"/>
      <c r="C11" s="6" t="n"/>
      <c r="D11" s="6" t="n"/>
      <c r="E11" s="11" t="n"/>
      <c r="F11" s="11" t="n"/>
      <c r="G11" s="6" t="n"/>
      <c r="H11" s="6">
        <f>IF($F11="","",$F11-TODAY())</f>
        <v/>
      </c>
      <c r="I11" s="6">
        <f>IF($F11="","",IF(AND($G11&lt;&gt;"Tamamlandı",$G11&lt;&gt;"İptal",$F11&lt;TODAY()),"GECİKTİ","-"))</f>
        <v/>
      </c>
      <c r="J11" s="6" t="n"/>
      <c r="K11" s="6" t="n"/>
      <c r="L11" s="11" t="n"/>
    </row>
    <row r="12">
      <c r="A12" s="6" t="n"/>
      <c r="B12" s="6" t="n"/>
      <c r="C12" s="6" t="n"/>
      <c r="D12" s="6" t="n"/>
      <c r="E12" s="11" t="n"/>
      <c r="F12" s="11" t="n"/>
      <c r="G12" s="6" t="n"/>
      <c r="H12" s="6">
        <f>IF($F12="","",$F12-TODAY())</f>
        <v/>
      </c>
      <c r="I12" s="6">
        <f>IF($F12="","",IF(AND($G12&lt;&gt;"Tamamlandı",$G12&lt;&gt;"İptal",$F12&lt;TODAY()),"GECİKTİ","-"))</f>
        <v/>
      </c>
      <c r="J12" s="6" t="n"/>
      <c r="K12" s="6" t="n"/>
      <c r="L12" s="11" t="n"/>
    </row>
    <row r="13">
      <c r="A13" s="6" t="n"/>
      <c r="B13" s="6" t="n"/>
      <c r="C13" s="6" t="n"/>
      <c r="D13" s="6" t="n"/>
      <c r="E13" s="11" t="n"/>
      <c r="F13" s="11" t="n"/>
      <c r="G13" s="6" t="n"/>
      <c r="H13" s="6">
        <f>IF($F13="","",$F13-TODAY())</f>
        <v/>
      </c>
      <c r="I13" s="6">
        <f>IF($F13="","",IF(AND($G13&lt;&gt;"Tamamlandı",$G13&lt;&gt;"İptal",$F13&lt;TODAY()),"GECİKTİ","-"))</f>
        <v/>
      </c>
      <c r="J13" s="6" t="n"/>
      <c r="K13" s="6" t="n"/>
      <c r="L13" s="11" t="n"/>
    </row>
    <row r="14">
      <c r="A14" s="6" t="n"/>
      <c r="B14" s="6" t="n"/>
      <c r="C14" s="6" t="n"/>
      <c r="D14" s="6" t="n"/>
      <c r="E14" s="11" t="n"/>
      <c r="F14" s="11" t="n"/>
      <c r="G14" s="6" t="n"/>
      <c r="H14" s="6">
        <f>IF($F14="","",$F14-TODAY())</f>
        <v/>
      </c>
      <c r="I14" s="6">
        <f>IF($F14="","",IF(AND($G14&lt;&gt;"Tamamlandı",$G14&lt;&gt;"İptal",$F14&lt;TODAY()),"GECİKTİ","-"))</f>
        <v/>
      </c>
      <c r="J14" s="6" t="n"/>
      <c r="K14" s="6" t="n"/>
      <c r="L14" s="11" t="n"/>
    </row>
    <row r="15">
      <c r="A15" s="6" t="n"/>
      <c r="B15" s="6" t="n"/>
      <c r="C15" s="6" t="n"/>
      <c r="D15" s="6" t="n"/>
      <c r="E15" s="11" t="n"/>
      <c r="F15" s="11" t="n"/>
      <c r="G15" s="6" t="n"/>
      <c r="H15" s="6">
        <f>IF($F15="","",$F15-TODAY())</f>
        <v/>
      </c>
      <c r="I15" s="6">
        <f>IF($F15="","",IF(AND($G15&lt;&gt;"Tamamlandı",$G15&lt;&gt;"İptal",$F15&lt;TODAY()),"GECİKTİ","-"))</f>
        <v/>
      </c>
      <c r="J15" s="6" t="n"/>
      <c r="K15" s="6" t="n"/>
      <c r="L15" s="11" t="n"/>
    </row>
    <row r="16">
      <c r="A16" s="6" t="n"/>
      <c r="B16" s="6" t="n"/>
      <c r="C16" s="6" t="n"/>
      <c r="D16" s="6" t="n"/>
      <c r="E16" s="11" t="n"/>
      <c r="F16" s="11" t="n"/>
      <c r="G16" s="6" t="n"/>
      <c r="H16" s="6">
        <f>IF($F16="","",$F16-TODAY())</f>
        <v/>
      </c>
      <c r="I16" s="6">
        <f>IF($F16="","",IF(AND($G16&lt;&gt;"Tamamlandı",$G16&lt;&gt;"İptal",$F16&lt;TODAY()),"GECİKTİ","-"))</f>
        <v/>
      </c>
      <c r="J16" s="6" t="n"/>
      <c r="K16" s="6" t="n"/>
      <c r="L16" s="11" t="n"/>
    </row>
    <row r="17">
      <c r="A17" s="6" t="n"/>
      <c r="B17" s="6" t="n"/>
      <c r="C17" s="6" t="n"/>
      <c r="D17" s="6" t="n"/>
      <c r="E17" s="11" t="n"/>
      <c r="F17" s="11" t="n"/>
      <c r="G17" s="6" t="n"/>
      <c r="H17" s="6">
        <f>IF($F17="","",$F17-TODAY())</f>
        <v/>
      </c>
      <c r="I17" s="6">
        <f>IF($F17="","",IF(AND($G17&lt;&gt;"Tamamlandı",$G17&lt;&gt;"İptal",$F17&lt;TODAY()),"GECİKTİ","-"))</f>
        <v/>
      </c>
      <c r="J17" s="6" t="n"/>
      <c r="K17" s="6" t="n"/>
      <c r="L17" s="11" t="n"/>
    </row>
    <row r="18">
      <c r="A18" s="6" t="n"/>
      <c r="B18" s="6" t="n"/>
      <c r="C18" s="6" t="n"/>
      <c r="D18" s="6" t="n"/>
      <c r="E18" s="11" t="n"/>
      <c r="F18" s="11" t="n"/>
      <c r="G18" s="6" t="n"/>
      <c r="H18" s="6">
        <f>IF($F18="","",$F18-TODAY())</f>
        <v/>
      </c>
      <c r="I18" s="6">
        <f>IF($F18="","",IF(AND($G18&lt;&gt;"Tamamlandı",$G18&lt;&gt;"İptal",$F18&lt;TODAY()),"GECİKTİ","-"))</f>
        <v/>
      </c>
      <c r="J18" s="6" t="n"/>
      <c r="K18" s="6" t="n"/>
      <c r="L18" s="11" t="n"/>
    </row>
    <row r="19">
      <c r="A19" s="6" t="n"/>
      <c r="B19" s="6" t="n"/>
      <c r="C19" s="6" t="n"/>
      <c r="D19" s="6" t="n"/>
      <c r="E19" s="11" t="n"/>
      <c r="F19" s="11" t="n"/>
      <c r="G19" s="6" t="n"/>
      <c r="H19" s="6">
        <f>IF($F19="","",$F19-TODAY())</f>
        <v/>
      </c>
      <c r="I19" s="6">
        <f>IF($F19="","",IF(AND($G19&lt;&gt;"Tamamlandı",$G19&lt;&gt;"İptal",$F19&lt;TODAY()),"GECİKTİ","-"))</f>
        <v/>
      </c>
      <c r="J19" s="6" t="n"/>
      <c r="K19" s="6" t="n"/>
      <c r="L19" s="11" t="n"/>
    </row>
    <row r="20">
      <c r="A20" s="6" t="n"/>
      <c r="B20" s="6" t="n"/>
      <c r="C20" s="6" t="n"/>
      <c r="D20" s="6" t="n"/>
      <c r="E20" s="11" t="n"/>
      <c r="F20" s="11" t="n"/>
      <c r="G20" s="6" t="n"/>
      <c r="H20" s="6">
        <f>IF($F20="","",$F20-TODAY())</f>
        <v/>
      </c>
      <c r="I20" s="6">
        <f>IF($F20="","",IF(AND($G20&lt;&gt;"Tamamlandı",$G20&lt;&gt;"İptal",$F20&lt;TODAY()),"GECİKTİ","-"))</f>
        <v/>
      </c>
      <c r="J20" s="6" t="n"/>
      <c r="K20" s="6" t="n"/>
      <c r="L20" s="11" t="n"/>
    </row>
    <row r="21">
      <c r="A21" s="6" t="n"/>
      <c r="B21" s="6" t="n"/>
      <c r="C21" s="6" t="n"/>
      <c r="D21" s="6" t="n"/>
      <c r="E21" s="11" t="n"/>
      <c r="F21" s="11" t="n"/>
      <c r="G21" s="6" t="n"/>
      <c r="H21" s="6">
        <f>IF($F21="","",$F21-TODAY())</f>
        <v/>
      </c>
      <c r="I21" s="6">
        <f>IF($F21="","",IF(AND($G21&lt;&gt;"Tamamlandı",$G21&lt;&gt;"İptal",$F21&lt;TODAY()),"GECİKTİ","-"))</f>
        <v/>
      </c>
      <c r="J21" s="6" t="n"/>
      <c r="K21" s="6" t="n"/>
      <c r="L21" s="11" t="n"/>
    </row>
    <row r="22">
      <c r="A22" s="6" t="n"/>
      <c r="B22" s="6" t="n"/>
      <c r="C22" s="6" t="n"/>
      <c r="D22" s="6" t="n"/>
      <c r="E22" s="11" t="n"/>
      <c r="F22" s="11" t="n"/>
      <c r="G22" s="6" t="n"/>
      <c r="H22" s="6">
        <f>IF($F22="","",$F22-TODAY())</f>
        <v/>
      </c>
      <c r="I22" s="6">
        <f>IF($F22="","",IF(AND($G22&lt;&gt;"Tamamlandı",$G22&lt;&gt;"İptal",$F22&lt;TODAY()),"GECİKTİ","-"))</f>
        <v/>
      </c>
      <c r="J22" s="6" t="n"/>
      <c r="K22" s="6" t="n"/>
      <c r="L22" s="11" t="n"/>
    </row>
    <row r="23">
      <c r="A23" s="6" t="n"/>
      <c r="B23" s="6" t="n"/>
      <c r="C23" s="6" t="n"/>
      <c r="D23" s="6" t="n"/>
      <c r="E23" s="11" t="n"/>
      <c r="F23" s="11" t="n"/>
      <c r="G23" s="6" t="n"/>
      <c r="H23" s="6">
        <f>IF($F23="","",$F23-TODAY())</f>
        <v/>
      </c>
      <c r="I23" s="6">
        <f>IF($F23="","",IF(AND($G23&lt;&gt;"Tamamlandı",$G23&lt;&gt;"İptal",$F23&lt;TODAY()),"GECİKTİ","-"))</f>
        <v/>
      </c>
      <c r="J23" s="6" t="n"/>
      <c r="K23" s="6" t="n"/>
      <c r="L23" s="11" t="n"/>
    </row>
    <row r="24">
      <c r="A24" s="6" t="n"/>
      <c r="B24" s="6" t="n"/>
      <c r="C24" s="6" t="n"/>
      <c r="D24" s="6" t="n"/>
      <c r="E24" s="11" t="n"/>
      <c r="F24" s="11" t="n"/>
      <c r="G24" s="6" t="n"/>
      <c r="H24" s="6">
        <f>IF($F24="","",$F24-TODAY())</f>
        <v/>
      </c>
      <c r="I24" s="6">
        <f>IF($F24="","",IF(AND($G24&lt;&gt;"Tamamlandı",$G24&lt;&gt;"İptal",$F24&lt;TODAY()),"GECİKTİ","-"))</f>
        <v/>
      </c>
      <c r="J24" s="6" t="n"/>
      <c r="K24" s="6" t="n"/>
      <c r="L24" s="11" t="n"/>
    </row>
    <row r="25">
      <c r="A25" s="6" t="n"/>
      <c r="B25" s="6" t="n"/>
      <c r="C25" s="6" t="n"/>
      <c r="D25" s="6" t="n"/>
      <c r="E25" s="11" t="n"/>
      <c r="F25" s="11" t="n"/>
      <c r="G25" s="6" t="n"/>
      <c r="H25" s="6">
        <f>IF($F25="","",$F25-TODAY())</f>
        <v/>
      </c>
      <c r="I25" s="6">
        <f>IF($F25="","",IF(AND($G25&lt;&gt;"Tamamlandı",$G25&lt;&gt;"İptal",$F25&lt;TODAY()),"GECİKTİ","-"))</f>
        <v/>
      </c>
      <c r="J25" s="6" t="n"/>
      <c r="K25" s="6" t="n"/>
      <c r="L25" s="11" t="n"/>
    </row>
    <row r="26">
      <c r="A26" s="6" t="n"/>
      <c r="B26" s="6" t="n"/>
      <c r="C26" s="6" t="n"/>
      <c r="D26" s="6" t="n"/>
      <c r="E26" s="11" t="n"/>
      <c r="F26" s="11" t="n"/>
      <c r="G26" s="6" t="n"/>
      <c r="H26" s="6">
        <f>IF($F26="","",$F26-TODAY())</f>
        <v/>
      </c>
      <c r="I26" s="6">
        <f>IF($F26="","",IF(AND($G26&lt;&gt;"Tamamlandı",$G26&lt;&gt;"İptal",$F26&lt;TODAY()),"GECİKTİ","-"))</f>
        <v/>
      </c>
      <c r="J26" s="6" t="n"/>
      <c r="K26" s="6" t="n"/>
      <c r="L26" s="11" t="n"/>
    </row>
    <row r="27">
      <c r="A27" s="6" t="n"/>
      <c r="B27" s="6" t="n"/>
      <c r="C27" s="6" t="n"/>
      <c r="D27" s="6" t="n"/>
      <c r="E27" s="11" t="n"/>
      <c r="F27" s="11" t="n"/>
      <c r="G27" s="6" t="n"/>
      <c r="H27" s="6">
        <f>IF($F27="","",$F27-TODAY())</f>
        <v/>
      </c>
      <c r="I27" s="6">
        <f>IF($F27="","",IF(AND($G27&lt;&gt;"Tamamlandı",$G27&lt;&gt;"İptal",$F27&lt;TODAY()),"GECİKTİ","-"))</f>
        <v/>
      </c>
      <c r="J27" s="6" t="n"/>
      <c r="K27" s="6" t="n"/>
      <c r="L27" s="11" t="n"/>
    </row>
    <row r="28">
      <c r="A28" s="6" t="n"/>
      <c r="B28" s="6" t="n"/>
      <c r="C28" s="6" t="n"/>
      <c r="D28" s="6" t="n"/>
      <c r="E28" s="11" t="n"/>
      <c r="F28" s="11" t="n"/>
      <c r="G28" s="6" t="n"/>
      <c r="H28" s="6">
        <f>IF($F28="","",$F28-TODAY())</f>
        <v/>
      </c>
      <c r="I28" s="6">
        <f>IF($F28="","",IF(AND($G28&lt;&gt;"Tamamlandı",$G28&lt;&gt;"İptal",$F28&lt;TODAY()),"GECİKTİ","-"))</f>
        <v/>
      </c>
      <c r="J28" s="6" t="n"/>
      <c r="K28" s="6" t="n"/>
      <c r="L28" s="11" t="n"/>
    </row>
    <row r="29">
      <c r="A29" s="6" t="n"/>
      <c r="B29" s="6" t="n"/>
      <c r="C29" s="6" t="n"/>
      <c r="D29" s="6" t="n"/>
      <c r="E29" s="11" t="n"/>
      <c r="F29" s="11" t="n"/>
      <c r="G29" s="6" t="n"/>
      <c r="H29" s="6">
        <f>IF($F29="","",$F29-TODAY())</f>
        <v/>
      </c>
      <c r="I29" s="6">
        <f>IF($F29="","",IF(AND($G29&lt;&gt;"Tamamlandı",$G29&lt;&gt;"İptal",$F29&lt;TODAY()),"GECİKTİ","-"))</f>
        <v/>
      </c>
      <c r="J29" s="6" t="n"/>
      <c r="K29" s="6" t="n"/>
      <c r="L29" s="11" t="n"/>
    </row>
    <row r="30">
      <c r="A30" s="6" t="n"/>
      <c r="B30" s="6" t="n"/>
      <c r="C30" s="6" t="n"/>
      <c r="D30" s="6" t="n"/>
      <c r="E30" s="11" t="n"/>
      <c r="F30" s="11" t="n"/>
      <c r="G30" s="6" t="n"/>
      <c r="H30" s="6">
        <f>IF($F30="","",$F30-TODAY())</f>
        <v/>
      </c>
      <c r="I30" s="6">
        <f>IF($F30="","",IF(AND($G30&lt;&gt;"Tamamlandı",$G30&lt;&gt;"İptal",$F30&lt;TODAY()),"GECİKTİ","-"))</f>
        <v/>
      </c>
      <c r="J30" s="6" t="n"/>
      <c r="K30" s="6" t="n"/>
      <c r="L30" s="11" t="n"/>
    </row>
    <row r="31">
      <c r="A31" s="6" t="n"/>
      <c r="B31" s="6" t="n"/>
      <c r="C31" s="6" t="n"/>
      <c r="D31" s="6" t="n"/>
      <c r="E31" s="11" t="n"/>
      <c r="F31" s="11" t="n"/>
      <c r="G31" s="6" t="n"/>
      <c r="H31" s="6">
        <f>IF($F31="","",$F31-TODAY())</f>
        <v/>
      </c>
      <c r="I31" s="6">
        <f>IF($F31="","",IF(AND($G31&lt;&gt;"Tamamlandı",$G31&lt;&gt;"İptal",$F31&lt;TODAY()),"GECİKTİ","-"))</f>
        <v/>
      </c>
      <c r="J31" s="6" t="n"/>
      <c r="K31" s="6" t="n"/>
      <c r="L31" s="11" t="n"/>
    </row>
    <row r="32">
      <c r="A32" s="6" t="n"/>
      <c r="B32" s="6" t="n"/>
      <c r="C32" s="6" t="n"/>
      <c r="D32" s="6" t="n"/>
      <c r="E32" s="11" t="n"/>
      <c r="F32" s="11" t="n"/>
      <c r="G32" s="6" t="n"/>
      <c r="H32" s="6">
        <f>IF($F32="","",$F32-TODAY())</f>
        <v/>
      </c>
      <c r="I32" s="6">
        <f>IF($F32="","",IF(AND($G32&lt;&gt;"Tamamlandı",$G32&lt;&gt;"İptal",$F32&lt;TODAY()),"GECİKTİ","-"))</f>
        <v/>
      </c>
      <c r="J32" s="6" t="n"/>
      <c r="K32" s="6" t="n"/>
      <c r="L32" s="11" t="n"/>
    </row>
    <row r="33">
      <c r="A33" s="6" t="n"/>
      <c r="B33" s="6" t="n"/>
      <c r="C33" s="6" t="n"/>
      <c r="D33" s="6" t="n"/>
      <c r="E33" s="11" t="n"/>
      <c r="F33" s="11" t="n"/>
      <c r="G33" s="6" t="n"/>
      <c r="H33" s="6">
        <f>IF($F33="","",$F33-TODAY())</f>
        <v/>
      </c>
      <c r="I33" s="6">
        <f>IF($F33="","",IF(AND($G33&lt;&gt;"Tamamlandı",$G33&lt;&gt;"İptal",$F33&lt;TODAY()),"GECİKTİ","-"))</f>
        <v/>
      </c>
      <c r="J33" s="6" t="n"/>
      <c r="K33" s="6" t="n"/>
      <c r="L33" s="11" t="n"/>
    </row>
    <row r="34">
      <c r="A34" s="6" t="n"/>
      <c r="B34" s="6" t="n"/>
      <c r="C34" s="6" t="n"/>
      <c r="D34" s="6" t="n"/>
      <c r="E34" s="11" t="n"/>
      <c r="F34" s="11" t="n"/>
      <c r="G34" s="6" t="n"/>
      <c r="H34" s="6">
        <f>IF($F34="","",$F34-TODAY())</f>
        <v/>
      </c>
      <c r="I34" s="6">
        <f>IF($F34="","",IF(AND($G34&lt;&gt;"Tamamlandı",$G34&lt;&gt;"İptal",$F34&lt;TODAY()),"GECİKTİ","-"))</f>
        <v/>
      </c>
      <c r="J34" s="6" t="n"/>
      <c r="K34" s="6" t="n"/>
      <c r="L34" s="11" t="n"/>
    </row>
    <row r="35">
      <c r="A35" s="6" t="n"/>
      <c r="B35" s="6" t="n"/>
      <c r="C35" s="6" t="n"/>
      <c r="D35" s="6" t="n"/>
      <c r="E35" s="11" t="n"/>
      <c r="F35" s="11" t="n"/>
      <c r="G35" s="6" t="n"/>
      <c r="H35" s="6">
        <f>IF($F35="","",$F35-TODAY())</f>
        <v/>
      </c>
      <c r="I35" s="6">
        <f>IF($F35="","",IF(AND($G35&lt;&gt;"Tamamlandı",$G35&lt;&gt;"İptal",$F35&lt;TODAY()),"GECİKTİ","-"))</f>
        <v/>
      </c>
      <c r="J35" s="6" t="n"/>
      <c r="K35" s="6" t="n"/>
      <c r="L35" s="11" t="n"/>
    </row>
    <row r="36">
      <c r="A36" s="6" t="n"/>
      <c r="B36" s="6" t="n"/>
      <c r="C36" s="6" t="n"/>
      <c r="D36" s="6" t="n"/>
      <c r="E36" s="11" t="n"/>
      <c r="F36" s="11" t="n"/>
      <c r="G36" s="6" t="n"/>
      <c r="H36" s="6">
        <f>IF($F36="","",$F36-TODAY())</f>
        <v/>
      </c>
      <c r="I36" s="6">
        <f>IF($F36="","",IF(AND($G36&lt;&gt;"Tamamlandı",$G36&lt;&gt;"İptal",$F36&lt;TODAY()),"GECİKTİ","-"))</f>
        <v/>
      </c>
      <c r="J36" s="6" t="n"/>
      <c r="K36" s="6" t="n"/>
      <c r="L36" s="11" t="n"/>
    </row>
    <row r="37">
      <c r="A37" s="6" t="n"/>
      <c r="B37" s="6" t="n"/>
      <c r="C37" s="6" t="n"/>
      <c r="D37" s="6" t="n"/>
      <c r="E37" s="11" t="n"/>
      <c r="F37" s="11" t="n"/>
      <c r="G37" s="6" t="n"/>
      <c r="H37" s="6">
        <f>IF($F37="","",$F37-TODAY())</f>
        <v/>
      </c>
      <c r="I37" s="6">
        <f>IF($F37="","",IF(AND($G37&lt;&gt;"Tamamlandı",$G37&lt;&gt;"İptal",$F37&lt;TODAY()),"GECİKTİ","-"))</f>
        <v/>
      </c>
      <c r="J37" s="6" t="n"/>
      <c r="K37" s="6" t="n"/>
      <c r="L37" s="11" t="n"/>
    </row>
    <row r="38">
      <c r="A38" s="6" t="n"/>
      <c r="B38" s="6" t="n"/>
      <c r="C38" s="6" t="n"/>
      <c r="D38" s="6" t="n"/>
      <c r="E38" s="11" t="n"/>
      <c r="F38" s="11" t="n"/>
      <c r="G38" s="6" t="n"/>
      <c r="H38" s="6">
        <f>IF($F38="","",$F38-TODAY())</f>
        <v/>
      </c>
      <c r="I38" s="6">
        <f>IF($F38="","",IF(AND($G38&lt;&gt;"Tamamlandı",$G38&lt;&gt;"İptal",$F38&lt;TODAY()),"GECİKTİ","-"))</f>
        <v/>
      </c>
      <c r="J38" s="6" t="n"/>
      <c r="K38" s="6" t="n"/>
      <c r="L38" s="11" t="n"/>
    </row>
    <row r="39">
      <c r="A39" s="6" t="n"/>
      <c r="B39" s="6" t="n"/>
      <c r="C39" s="6" t="n"/>
      <c r="D39" s="6" t="n"/>
      <c r="E39" s="11" t="n"/>
      <c r="F39" s="11" t="n"/>
      <c r="G39" s="6" t="n"/>
      <c r="H39" s="6">
        <f>IF($F39="","",$F39-TODAY())</f>
        <v/>
      </c>
      <c r="I39" s="6">
        <f>IF($F39="","",IF(AND($G39&lt;&gt;"Tamamlandı",$G39&lt;&gt;"İptal",$F39&lt;TODAY()),"GECİKTİ","-"))</f>
        <v/>
      </c>
      <c r="J39" s="6" t="n"/>
      <c r="K39" s="6" t="n"/>
      <c r="L39" s="11" t="n"/>
    </row>
    <row r="40">
      <c r="A40" s="6" t="n"/>
      <c r="B40" s="6" t="n"/>
      <c r="C40" s="6" t="n"/>
      <c r="D40" s="6" t="n"/>
      <c r="E40" s="11" t="n"/>
      <c r="F40" s="11" t="n"/>
      <c r="G40" s="6" t="n"/>
      <c r="H40" s="6">
        <f>IF($F40="","",$F40-TODAY())</f>
        <v/>
      </c>
      <c r="I40" s="6">
        <f>IF($F40="","",IF(AND($G40&lt;&gt;"Tamamlandı",$G40&lt;&gt;"İptal",$F40&lt;TODAY()),"GECİKTİ","-"))</f>
        <v/>
      </c>
      <c r="J40" s="6" t="n"/>
      <c r="K40" s="6" t="n"/>
      <c r="L40" s="11" t="n"/>
    </row>
    <row r="41">
      <c r="A41" s="6" t="n"/>
      <c r="B41" s="6" t="n"/>
      <c r="C41" s="6" t="n"/>
      <c r="D41" s="6" t="n"/>
      <c r="E41" s="11" t="n"/>
      <c r="F41" s="11" t="n"/>
      <c r="G41" s="6" t="n"/>
      <c r="H41" s="6">
        <f>IF($F41="","",$F41-TODAY())</f>
        <v/>
      </c>
      <c r="I41" s="6">
        <f>IF($F41="","",IF(AND($G41&lt;&gt;"Tamamlandı",$G41&lt;&gt;"İptal",$F41&lt;TODAY()),"GECİKTİ","-"))</f>
        <v/>
      </c>
      <c r="J41" s="6" t="n"/>
      <c r="K41" s="6" t="n"/>
      <c r="L41" s="11" t="n"/>
    </row>
    <row r="42">
      <c r="A42" s="6" t="n"/>
      <c r="B42" s="6" t="n"/>
      <c r="C42" s="6" t="n"/>
      <c r="D42" s="6" t="n"/>
      <c r="E42" s="11" t="n"/>
      <c r="F42" s="11" t="n"/>
      <c r="G42" s="6" t="n"/>
      <c r="H42" s="6">
        <f>IF($F42="","",$F42-TODAY())</f>
        <v/>
      </c>
      <c r="I42" s="6">
        <f>IF($F42="","",IF(AND($G42&lt;&gt;"Tamamlandı",$G42&lt;&gt;"İptal",$F42&lt;TODAY()),"GECİKTİ","-"))</f>
        <v/>
      </c>
      <c r="J42" s="6" t="n"/>
      <c r="K42" s="6" t="n"/>
      <c r="L42" s="11" t="n"/>
    </row>
    <row r="43">
      <c r="A43" s="6" t="n"/>
      <c r="B43" s="6" t="n"/>
      <c r="C43" s="6" t="n"/>
      <c r="D43" s="6" t="n"/>
      <c r="E43" s="11" t="n"/>
      <c r="F43" s="11" t="n"/>
      <c r="G43" s="6" t="n"/>
      <c r="H43" s="6">
        <f>IF($F43="","",$F43-TODAY())</f>
        <v/>
      </c>
      <c r="I43" s="6">
        <f>IF($F43="","",IF(AND($G43&lt;&gt;"Tamamlandı",$G43&lt;&gt;"İptal",$F43&lt;TODAY()),"GECİKTİ","-"))</f>
        <v/>
      </c>
      <c r="J43" s="6" t="n"/>
      <c r="K43" s="6" t="n"/>
      <c r="L43" s="11" t="n"/>
    </row>
    <row r="44">
      <c r="A44" s="6" t="n"/>
      <c r="B44" s="6" t="n"/>
      <c r="C44" s="6" t="n"/>
      <c r="D44" s="6" t="n"/>
      <c r="E44" s="11" t="n"/>
      <c r="F44" s="11" t="n"/>
      <c r="G44" s="6" t="n"/>
      <c r="H44" s="6">
        <f>IF($F44="","",$F44-TODAY())</f>
        <v/>
      </c>
      <c r="I44" s="6">
        <f>IF($F44="","",IF(AND($G44&lt;&gt;"Tamamlandı",$G44&lt;&gt;"İptal",$F44&lt;TODAY()),"GECİKTİ","-"))</f>
        <v/>
      </c>
      <c r="J44" s="6" t="n"/>
      <c r="K44" s="6" t="n"/>
      <c r="L44" s="11" t="n"/>
    </row>
    <row r="45">
      <c r="A45" s="6" t="n"/>
      <c r="B45" s="6" t="n"/>
      <c r="C45" s="6" t="n"/>
      <c r="D45" s="6" t="n"/>
      <c r="E45" s="11" t="n"/>
      <c r="F45" s="11" t="n"/>
      <c r="G45" s="6" t="n"/>
      <c r="H45" s="6">
        <f>IF($F45="","",$F45-TODAY())</f>
        <v/>
      </c>
      <c r="I45" s="6">
        <f>IF($F45="","",IF(AND($G45&lt;&gt;"Tamamlandı",$G45&lt;&gt;"İptal",$F45&lt;TODAY()),"GECİKTİ","-"))</f>
        <v/>
      </c>
      <c r="J45" s="6" t="n"/>
      <c r="K45" s="6" t="n"/>
      <c r="L45" s="11" t="n"/>
    </row>
    <row r="46">
      <c r="A46" s="6" t="n"/>
      <c r="B46" s="6" t="n"/>
      <c r="C46" s="6" t="n"/>
      <c r="D46" s="6" t="n"/>
      <c r="E46" s="11" t="n"/>
      <c r="F46" s="11" t="n"/>
      <c r="G46" s="6" t="n"/>
      <c r="H46" s="6">
        <f>IF($F46="","",$F46-TODAY())</f>
        <v/>
      </c>
      <c r="I46" s="6">
        <f>IF($F46="","",IF(AND($G46&lt;&gt;"Tamamlandı",$G46&lt;&gt;"İptal",$F46&lt;TODAY()),"GECİKTİ","-"))</f>
        <v/>
      </c>
      <c r="J46" s="6" t="n"/>
      <c r="K46" s="6" t="n"/>
      <c r="L46" s="11" t="n"/>
    </row>
    <row r="47">
      <c r="A47" s="6" t="n"/>
      <c r="B47" s="6" t="n"/>
      <c r="C47" s="6" t="n"/>
      <c r="D47" s="6" t="n"/>
      <c r="E47" s="11" t="n"/>
      <c r="F47" s="11" t="n"/>
      <c r="G47" s="6" t="n"/>
      <c r="H47" s="6">
        <f>IF($F47="","",$F47-TODAY())</f>
        <v/>
      </c>
      <c r="I47" s="6">
        <f>IF($F47="","",IF(AND($G47&lt;&gt;"Tamamlandı",$G47&lt;&gt;"İptal",$F47&lt;TODAY()),"GECİKTİ","-"))</f>
        <v/>
      </c>
      <c r="J47" s="6" t="n"/>
      <c r="K47" s="6" t="n"/>
      <c r="L47" s="11" t="n"/>
    </row>
    <row r="48">
      <c r="A48" s="6" t="n"/>
      <c r="B48" s="6" t="n"/>
      <c r="C48" s="6" t="n"/>
      <c r="D48" s="6" t="n"/>
      <c r="E48" s="11" t="n"/>
      <c r="F48" s="11" t="n"/>
      <c r="G48" s="6" t="n"/>
      <c r="H48" s="6">
        <f>IF($F48="","",$F48-TODAY())</f>
        <v/>
      </c>
      <c r="I48" s="6">
        <f>IF($F48="","",IF(AND($G48&lt;&gt;"Tamamlandı",$G48&lt;&gt;"İptal",$F48&lt;TODAY()),"GECİKTİ","-"))</f>
        <v/>
      </c>
      <c r="J48" s="6" t="n"/>
      <c r="K48" s="6" t="n"/>
      <c r="L48" s="11" t="n"/>
    </row>
    <row r="49">
      <c r="A49" s="6" t="n"/>
      <c r="B49" s="6" t="n"/>
      <c r="C49" s="6" t="n"/>
      <c r="D49" s="6" t="n"/>
      <c r="E49" s="11" t="n"/>
      <c r="F49" s="11" t="n"/>
      <c r="G49" s="6" t="n"/>
      <c r="H49" s="6">
        <f>IF($F49="","",$F49-TODAY())</f>
        <v/>
      </c>
      <c r="I49" s="6">
        <f>IF($F49="","",IF(AND($G49&lt;&gt;"Tamamlandı",$G49&lt;&gt;"İptal",$F49&lt;TODAY()),"GECİKTİ","-"))</f>
        <v/>
      </c>
      <c r="J49" s="6" t="n"/>
      <c r="K49" s="6" t="n"/>
      <c r="L49" s="11" t="n"/>
    </row>
    <row r="50">
      <c r="A50" s="6" t="n"/>
      <c r="B50" s="6" t="n"/>
      <c r="C50" s="6" t="n"/>
      <c r="D50" s="6" t="n"/>
      <c r="E50" s="11" t="n"/>
      <c r="F50" s="11" t="n"/>
      <c r="G50" s="6" t="n"/>
      <c r="H50" s="6">
        <f>IF($F50="","",$F50-TODAY())</f>
        <v/>
      </c>
      <c r="I50" s="6">
        <f>IF($F50="","",IF(AND($G50&lt;&gt;"Tamamlandı",$G50&lt;&gt;"İptal",$F50&lt;TODAY()),"GECİKTİ","-"))</f>
        <v/>
      </c>
      <c r="J50" s="6" t="n"/>
      <c r="K50" s="6" t="n"/>
      <c r="L50" s="11" t="n"/>
    </row>
    <row r="51">
      <c r="A51" s="6" t="n"/>
      <c r="B51" s="6" t="n"/>
      <c r="C51" s="6" t="n"/>
      <c r="D51" s="6" t="n"/>
      <c r="E51" s="11" t="n"/>
      <c r="F51" s="11" t="n"/>
      <c r="G51" s="6" t="n"/>
      <c r="H51" s="6">
        <f>IF($F51="","",$F51-TODAY())</f>
        <v/>
      </c>
      <c r="I51" s="6">
        <f>IF($F51="","",IF(AND($G51&lt;&gt;"Tamamlandı",$G51&lt;&gt;"İptal",$F51&lt;TODAY()),"GECİKTİ","-"))</f>
        <v/>
      </c>
      <c r="J51" s="6" t="n"/>
      <c r="K51" s="6" t="n"/>
      <c r="L51" s="11" t="n"/>
    </row>
    <row r="52">
      <c r="A52" s="6" t="n"/>
      <c r="B52" s="6" t="n"/>
      <c r="C52" s="6" t="n"/>
      <c r="D52" s="6" t="n"/>
      <c r="E52" s="11" t="n"/>
      <c r="F52" s="11" t="n"/>
      <c r="G52" s="6" t="n"/>
      <c r="H52" s="6">
        <f>IF($F52="","",$F52-TODAY())</f>
        <v/>
      </c>
      <c r="I52" s="6">
        <f>IF($F52="","",IF(AND($G52&lt;&gt;"Tamamlandı",$G52&lt;&gt;"İptal",$F52&lt;TODAY()),"GECİKTİ","-"))</f>
        <v/>
      </c>
      <c r="J52" s="6" t="n"/>
      <c r="K52" s="6" t="n"/>
      <c r="L52" s="11" t="n"/>
    </row>
    <row r="53">
      <c r="A53" s="6" t="n"/>
      <c r="B53" s="6" t="n"/>
      <c r="C53" s="6" t="n"/>
      <c r="D53" s="6" t="n"/>
      <c r="E53" s="11" t="n"/>
      <c r="F53" s="11" t="n"/>
      <c r="G53" s="6" t="n"/>
      <c r="H53" s="6">
        <f>IF($F53="","",$F53-TODAY())</f>
        <v/>
      </c>
      <c r="I53" s="6">
        <f>IF($F53="","",IF(AND($G53&lt;&gt;"Tamamlandı",$G53&lt;&gt;"İptal",$F53&lt;TODAY()),"GECİKTİ","-"))</f>
        <v/>
      </c>
      <c r="J53" s="6" t="n"/>
      <c r="K53" s="6" t="n"/>
      <c r="L53" s="11" t="n"/>
    </row>
    <row r="54">
      <c r="A54" s="6" t="n"/>
      <c r="B54" s="6" t="n"/>
      <c r="C54" s="6" t="n"/>
      <c r="D54" s="6" t="n"/>
      <c r="E54" s="11" t="n"/>
      <c r="F54" s="11" t="n"/>
      <c r="G54" s="6" t="n"/>
      <c r="H54" s="6">
        <f>IF($F54="","",$F54-TODAY())</f>
        <v/>
      </c>
      <c r="I54" s="6">
        <f>IF($F54="","",IF(AND($G54&lt;&gt;"Tamamlandı",$G54&lt;&gt;"İptal",$F54&lt;TODAY()),"GECİKTİ","-"))</f>
        <v/>
      </c>
      <c r="J54" s="6" t="n"/>
      <c r="K54" s="6" t="n"/>
      <c r="L54" s="11" t="n"/>
    </row>
    <row r="55">
      <c r="A55" s="6" t="n"/>
      <c r="B55" s="6" t="n"/>
      <c r="C55" s="6" t="n"/>
      <c r="D55" s="6" t="n"/>
      <c r="E55" s="11" t="n"/>
      <c r="F55" s="11" t="n"/>
      <c r="G55" s="6" t="n"/>
      <c r="H55" s="6">
        <f>IF($F55="","",$F55-TODAY())</f>
        <v/>
      </c>
      <c r="I55" s="6">
        <f>IF($F55="","",IF(AND($G55&lt;&gt;"Tamamlandı",$G55&lt;&gt;"İptal",$F55&lt;TODAY()),"GECİKTİ","-"))</f>
        <v/>
      </c>
      <c r="J55" s="6" t="n"/>
      <c r="K55" s="6" t="n"/>
      <c r="L55" s="11" t="n"/>
    </row>
    <row r="56">
      <c r="A56" s="6" t="n"/>
      <c r="B56" s="6" t="n"/>
      <c r="C56" s="6" t="n"/>
      <c r="D56" s="6" t="n"/>
      <c r="E56" s="11" t="n"/>
      <c r="F56" s="11" t="n"/>
      <c r="G56" s="6" t="n"/>
      <c r="H56" s="6">
        <f>IF($F56="","",$F56-TODAY())</f>
        <v/>
      </c>
      <c r="I56" s="6">
        <f>IF($F56="","",IF(AND($G56&lt;&gt;"Tamamlandı",$G56&lt;&gt;"İptal",$F56&lt;TODAY()),"GECİKTİ","-"))</f>
        <v/>
      </c>
      <c r="J56" s="6" t="n"/>
      <c r="K56" s="6" t="n"/>
      <c r="L56" s="11" t="n"/>
    </row>
    <row r="57">
      <c r="A57" s="6" t="n"/>
      <c r="B57" s="6" t="n"/>
      <c r="C57" s="6" t="n"/>
      <c r="D57" s="6" t="n"/>
      <c r="E57" s="11" t="n"/>
      <c r="F57" s="11" t="n"/>
      <c r="G57" s="6" t="n"/>
      <c r="H57" s="6">
        <f>IF($F57="","",$F57-TODAY())</f>
        <v/>
      </c>
      <c r="I57" s="6">
        <f>IF($F57="","",IF(AND($G57&lt;&gt;"Tamamlandı",$G57&lt;&gt;"İptal",$F57&lt;TODAY()),"GECİKTİ","-"))</f>
        <v/>
      </c>
      <c r="J57" s="6" t="n"/>
      <c r="K57" s="6" t="n"/>
      <c r="L57" s="11" t="n"/>
    </row>
    <row r="58">
      <c r="A58" s="6" t="n"/>
      <c r="B58" s="6" t="n"/>
      <c r="C58" s="6" t="n"/>
      <c r="D58" s="6" t="n"/>
      <c r="E58" s="11" t="n"/>
      <c r="F58" s="11" t="n"/>
      <c r="G58" s="6" t="n"/>
      <c r="H58" s="6">
        <f>IF($F58="","",$F58-TODAY())</f>
        <v/>
      </c>
      <c r="I58" s="6">
        <f>IF($F58="","",IF(AND($G58&lt;&gt;"Tamamlandı",$G58&lt;&gt;"İptal",$F58&lt;TODAY()),"GECİKTİ","-"))</f>
        <v/>
      </c>
      <c r="J58" s="6" t="n"/>
      <c r="K58" s="6" t="n"/>
      <c r="L58" s="11" t="n"/>
    </row>
    <row r="59">
      <c r="A59" s="6" t="n"/>
      <c r="B59" s="6" t="n"/>
      <c r="C59" s="6" t="n"/>
      <c r="D59" s="6" t="n"/>
      <c r="E59" s="11" t="n"/>
      <c r="F59" s="11" t="n"/>
      <c r="G59" s="6" t="n"/>
      <c r="H59" s="6">
        <f>IF($F59="","",$F59-TODAY())</f>
        <v/>
      </c>
      <c r="I59" s="6">
        <f>IF($F59="","",IF(AND($G59&lt;&gt;"Tamamlandı",$G59&lt;&gt;"İptal",$F59&lt;TODAY()),"GECİKTİ","-"))</f>
        <v/>
      </c>
      <c r="J59" s="6" t="n"/>
      <c r="K59" s="6" t="n"/>
      <c r="L59" s="11" t="n"/>
    </row>
    <row r="60">
      <c r="A60" s="6" t="n"/>
      <c r="B60" s="6" t="n"/>
      <c r="C60" s="6" t="n"/>
      <c r="D60" s="6" t="n"/>
      <c r="E60" s="11" t="n"/>
      <c r="F60" s="11" t="n"/>
      <c r="G60" s="6" t="n"/>
      <c r="H60" s="6">
        <f>IF($F60="","",$F60-TODAY())</f>
        <v/>
      </c>
      <c r="I60" s="6">
        <f>IF($F60="","",IF(AND($G60&lt;&gt;"Tamamlandı",$G60&lt;&gt;"İptal",$F60&lt;TODAY()),"GECİKTİ","-"))</f>
        <v/>
      </c>
      <c r="J60" s="6" t="n"/>
      <c r="K60" s="6" t="n"/>
      <c r="L60" s="11" t="n"/>
    </row>
    <row r="61">
      <c r="A61" s="6" t="n"/>
      <c r="B61" s="6" t="n"/>
      <c r="C61" s="6" t="n"/>
      <c r="D61" s="6" t="n"/>
      <c r="E61" s="11" t="n"/>
      <c r="F61" s="11" t="n"/>
      <c r="G61" s="6" t="n"/>
      <c r="H61" s="6">
        <f>IF($F61="","",$F61-TODAY())</f>
        <v/>
      </c>
      <c r="I61" s="6">
        <f>IF($F61="","",IF(AND($G61&lt;&gt;"Tamamlandı",$G61&lt;&gt;"İptal",$F61&lt;TODAY()),"GECİKTİ","-"))</f>
        <v/>
      </c>
      <c r="J61" s="6" t="n"/>
      <c r="K61" s="6" t="n"/>
      <c r="L61" s="11" t="n"/>
    </row>
    <row r="62">
      <c r="A62" s="6" t="n"/>
      <c r="B62" s="6" t="n"/>
      <c r="C62" s="6" t="n"/>
      <c r="D62" s="6" t="n"/>
      <c r="E62" s="11" t="n"/>
      <c r="F62" s="11" t="n"/>
      <c r="G62" s="6" t="n"/>
      <c r="H62" s="6">
        <f>IF($F62="","",$F62-TODAY())</f>
        <v/>
      </c>
      <c r="I62" s="6">
        <f>IF($F62="","",IF(AND($G62&lt;&gt;"Tamamlandı",$G62&lt;&gt;"İptal",$F62&lt;TODAY()),"GECİKTİ","-"))</f>
        <v/>
      </c>
      <c r="J62" s="6" t="n"/>
      <c r="K62" s="6" t="n"/>
      <c r="L62" s="11" t="n"/>
    </row>
    <row r="63">
      <c r="A63" s="6" t="n"/>
      <c r="B63" s="6" t="n"/>
      <c r="C63" s="6" t="n"/>
      <c r="D63" s="6" t="n"/>
      <c r="E63" s="11" t="n"/>
      <c r="F63" s="11" t="n"/>
      <c r="G63" s="6" t="n"/>
      <c r="H63" s="6">
        <f>IF($F63="","",$F63-TODAY())</f>
        <v/>
      </c>
      <c r="I63" s="6">
        <f>IF($F63="","",IF(AND($G63&lt;&gt;"Tamamlandı",$G63&lt;&gt;"İptal",$F63&lt;TODAY()),"GECİKTİ","-"))</f>
        <v/>
      </c>
      <c r="J63" s="6" t="n"/>
      <c r="K63" s="6" t="n"/>
      <c r="L63" s="11" t="n"/>
    </row>
    <row r="64">
      <c r="A64" s="6" t="n"/>
      <c r="B64" s="6" t="n"/>
      <c r="C64" s="6" t="n"/>
      <c r="D64" s="6" t="n"/>
      <c r="E64" s="11" t="n"/>
      <c r="F64" s="11" t="n"/>
      <c r="G64" s="6" t="n"/>
      <c r="H64" s="6">
        <f>IF($F64="","",$F64-TODAY())</f>
        <v/>
      </c>
      <c r="I64" s="6">
        <f>IF($F64="","",IF(AND($G64&lt;&gt;"Tamamlandı",$G64&lt;&gt;"İptal",$F64&lt;TODAY()),"GECİKTİ","-"))</f>
        <v/>
      </c>
      <c r="J64" s="6" t="n"/>
      <c r="K64" s="6" t="n"/>
      <c r="L64" s="11" t="n"/>
    </row>
    <row r="65">
      <c r="A65" s="6" t="n"/>
      <c r="B65" s="6" t="n"/>
      <c r="C65" s="6" t="n"/>
      <c r="D65" s="6" t="n"/>
      <c r="E65" s="11" t="n"/>
      <c r="F65" s="11" t="n"/>
      <c r="G65" s="6" t="n"/>
      <c r="H65" s="6">
        <f>IF($F65="","",$F65-TODAY())</f>
        <v/>
      </c>
      <c r="I65" s="6">
        <f>IF($F65="","",IF(AND($G65&lt;&gt;"Tamamlandı",$G65&lt;&gt;"İptal",$F65&lt;TODAY()),"GECİKTİ","-"))</f>
        <v/>
      </c>
      <c r="J65" s="6" t="n"/>
      <c r="K65" s="6" t="n"/>
      <c r="L65" s="11" t="n"/>
    </row>
    <row r="66">
      <c r="A66" s="6" t="n"/>
      <c r="B66" s="6" t="n"/>
      <c r="C66" s="6" t="n"/>
      <c r="D66" s="6" t="n"/>
      <c r="E66" s="11" t="n"/>
      <c r="F66" s="11" t="n"/>
      <c r="G66" s="6" t="n"/>
      <c r="H66" s="6">
        <f>IF($F66="","",$F66-TODAY())</f>
        <v/>
      </c>
      <c r="I66" s="6">
        <f>IF($F66="","",IF(AND($G66&lt;&gt;"Tamamlandı",$G66&lt;&gt;"İptal",$F66&lt;TODAY()),"GECİKTİ","-"))</f>
        <v/>
      </c>
      <c r="J66" s="6" t="n"/>
      <c r="K66" s="6" t="n"/>
      <c r="L66" s="11" t="n"/>
    </row>
    <row r="67">
      <c r="A67" s="6" t="n"/>
      <c r="B67" s="6" t="n"/>
      <c r="C67" s="6" t="n"/>
      <c r="D67" s="6" t="n"/>
      <c r="E67" s="11" t="n"/>
      <c r="F67" s="11" t="n"/>
      <c r="G67" s="6" t="n"/>
      <c r="H67" s="6">
        <f>IF($F67="","",$F67-TODAY())</f>
        <v/>
      </c>
      <c r="I67" s="6">
        <f>IF($F67="","",IF(AND($G67&lt;&gt;"Tamamlandı",$G67&lt;&gt;"İptal",$F67&lt;TODAY()),"GECİKTİ","-"))</f>
        <v/>
      </c>
      <c r="J67" s="6" t="n"/>
      <c r="K67" s="6" t="n"/>
      <c r="L67" s="11" t="n"/>
    </row>
    <row r="68">
      <c r="A68" s="6" t="n"/>
      <c r="B68" s="6" t="n"/>
      <c r="C68" s="6" t="n"/>
      <c r="D68" s="6" t="n"/>
      <c r="E68" s="11" t="n"/>
      <c r="F68" s="11" t="n"/>
      <c r="G68" s="6" t="n"/>
      <c r="H68" s="6">
        <f>IF($F68="","",$F68-TODAY())</f>
        <v/>
      </c>
      <c r="I68" s="6">
        <f>IF($F68="","",IF(AND($G68&lt;&gt;"Tamamlandı",$G68&lt;&gt;"İptal",$F68&lt;TODAY()),"GECİKTİ","-"))</f>
        <v/>
      </c>
      <c r="J68" s="6" t="n"/>
      <c r="K68" s="6" t="n"/>
      <c r="L68" s="11" t="n"/>
    </row>
    <row r="69">
      <c r="A69" s="6" t="n"/>
      <c r="B69" s="6" t="n"/>
      <c r="C69" s="6" t="n"/>
      <c r="D69" s="6" t="n"/>
      <c r="E69" s="11" t="n"/>
      <c r="F69" s="11" t="n"/>
      <c r="G69" s="6" t="n"/>
      <c r="H69" s="6">
        <f>IF($F69="","",$F69-TODAY())</f>
        <v/>
      </c>
      <c r="I69" s="6">
        <f>IF($F69="","",IF(AND($G69&lt;&gt;"Tamamlandı",$G69&lt;&gt;"İptal",$F69&lt;TODAY()),"GECİKTİ","-"))</f>
        <v/>
      </c>
      <c r="J69" s="6" t="n"/>
      <c r="K69" s="6" t="n"/>
      <c r="L69" s="11" t="n"/>
    </row>
    <row r="70">
      <c r="A70" s="6" t="n"/>
      <c r="B70" s="6" t="n"/>
      <c r="C70" s="6" t="n"/>
      <c r="D70" s="6" t="n"/>
      <c r="E70" s="11" t="n"/>
      <c r="F70" s="11" t="n"/>
      <c r="G70" s="6" t="n"/>
      <c r="H70" s="6">
        <f>IF($F70="","",$F70-TODAY())</f>
        <v/>
      </c>
      <c r="I70" s="6">
        <f>IF($F70="","",IF(AND($G70&lt;&gt;"Tamamlandı",$G70&lt;&gt;"İptal",$F70&lt;TODAY()),"GECİKTİ","-"))</f>
        <v/>
      </c>
      <c r="J70" s="6" t="n"/>
      <c r="K70" s="6" t="n"/>
      <c r="L70" s="11" t="n"/>
    </row>
    <row r="71">
      <c r="A71" s="6" t="n"/>
      <c r="B71" s="6" t="n"/>
      <c r="C71" s="6" t="n"/>
      <c r="D71" s="6" t="n"/>
      <c r="E71" s="11" t="n"/>
      <c r="F71" s="11" t="n"/>
      <c r="G71" s="6" t="n"/>
      <c r="H71" s="6">
        <f>IF($F71="","",$F71-TODAY())</f>
        <v/>
      </c>
      <c r="I71" s="6">
        <f>IF($F71="","",IF(AND($G71&lt;&gt;"Tamamlandı",$G71&lt;&gt;"İptal",$F71&lt;TODAY()),"GECİKTİ","-"))</f>
        <v/>
      </c>
      <c r="J71" s="6" t="n"/>
      <c r="K71" s="6" t="n"/>
      <c r="L71" s="11" t="n"/>
    </row>
    <row r="72">
      <c r="A72" s="6" t="n"/>
      <c r="B72" s="6" t="n"/>
      <c r="C72" s="6" t="n"/>
      <c r="D72" s="6" t="n"/>
      <c r="E72" s="11" t="n"/>
      <c r="F72" s="11" t="n"/>
      <c r="G72" s="6" t="n"/>
      <c r="H72" s="6">
        <f>IF($F72="","",$F72-TODAY())</f>
        <v/>
      </c>
      <c r="I72" s="6">
        <f>IF($F72="","",IF(AND($G72&lt;&gt;"Tamamlandı",$G72&lt;&gt;"İptal",$F72&lt;TODAY()),"GECİKTİ","-"))</f>
        <v/>
      </c>
      <c r="J72" s="6" t="n"/>
      <c r="K72" s="6" t="n"/>
      <c r="L72" s="11" t="n"/>
    </row>
    <row r="73">
      <c r="A73" s="6" t="n"/>
      <c r="B73" s="6" t="n"/>
      <c r="C73" s="6" t="n"/>
      <c r="D73" s="6" t="n"/>
      <c r="E73" s="11" t="n"/>
      <c r="F73" s="11" t="n"/>
      <c r="G73" s="6" t="n"/>
      <c r="H73" s="6">
        <f>IF($F73="","",$F73-TODAY())</f>
        <v/>
      </c>
      <c r="I73" s="6">
        <f>IF($F73="","",IF(AND($G73&lt;&gt;"Tamamlandı",$G73&lt;&gt;"İptal",$F73&lt;TODAY()),"GECİKTİ","-"))</f>
        <v/>
      </c>
      <c r="J73" s="6" t="n"/>
      <c r="K73" s="6" t="n"/>
      <c r="L73" s="11" t="n"/>
    </row>
    <row r="74">
      <c r="A74" s="6" t="n"/>
      <c r="B74" s="6" t="n"/>
      <c r="C74" s="6" t="n"/>
      <c r="D74" s="6" t="n"/>
      <c r="E74" s="11" t="n"/>
      <c r="F74" s="11" t="n"/>
      <c r="G74" s="6" t="n"/>
      <c r="H74" s="6">
        <f>IF($F74="","",$F74-TODAY())</f>
        <v/>
      </c>
      <c r="I74" s="6">
        <f>IF($F74="","",IF(AND($G74&lt;&gt;"Tamamlandı",$G74&lt;&gt;"İptal",$F74&lt;TODAY()),"GECİKTİ","-"))</f>
        <v/>
      </c>
      <c r="J74" s="6" t="n"/>
      <c r="K74" s="6" t="n"/>
      <c r="L74" s="11" t="n"/>
    </row>
    <row r="75">
      <c r="A75" s="6" t="n"/>
      <c r="B75" s="6" t="n"/>
      <c r="C75" s="6" t="n"/>
      <c r="D75" s="6" t="n"/>
      <c r="E75" s="11" t="n"/>
      <c r="F75" s="11" t="n"/>
      <c r="G75" s="6" t="n"/>
      <c r="H75" s="6">
        <f>IF($F75="","",$F75-TODAY())</f>
        <v/>
      </c>
      <c r="I75" s="6">
        <f>IF($F75="","",IF(AND($G75&lt;&gt;"Tamamlandı",$G75&lt;&gt;"İptal",$F75&lt;TODAY()),"GECİKTİ","-"))</f>
        <v/>
      </c>
      <c r="J75" s="6" t="n"/>
      <c r="K75" s="6" t="n"/>
      <c r="L75" s="11" t="n"/>
    </row>
    <row r="76">
      <c r="A76" s="6" t="n"/>
      <c r="B76" s="6" t="n"/>
      <c r="C76" s="6" t="n"/>
      <c r="D76" s="6" t="n"/>
      <c r="E76" s="11" t="n"/>
      <c r="F76" s="11" t="n"/>
      <c r="G76" s="6" t="n"/>
      <c r="H76" s="6">
        <f>IF($F76="","",$F76-TODAY())</f>
        <v/>
      </c>
      <c r="I76" s="6">
        <f>IF($F76="","",IF(AND($G76&lt;&gt;"Tamamlandı",$G76&lt;&gt;"İptal",$F76&lt;TODAY()),"GECİKTİ","-"))</f>
        <v/>
      </c>
      <c r="J76" s="6" t="n"/>
      <c r="K76" s="6" t="n"/>
      <c r="L76" s="11" t="n"/>
    </row>
    <row r="77">
      <c r="A77" s="6" t="n"/>
      <c r="B77" s="6" t="n"/>
      <c r="C77" s="6" t="n"/>
      <c r="D77" s="6" t="n"/>
      <c r="E77" s="11" t="n"/>
      <c r="F77" s="11" t="n"/>
      <c r="G77" s="6" t="n"/>
      <c r="H77" s="6">
        <f>IF($F77="","",$F77-TODAY())</f>
        <v/>
      </c>
      <c r="I77" s="6">
        <f>IF($F77="","",IF(AND($G77&lt;&gt;"Tamamlandı",$G77&lt;&gt;"İptal",$F77&lt;TODAY()),"GECİKTİ","-"))</f>
        <v/>
      </c>
      <c r="J77" s="6" t="n"/>
      <c r="K77" s="6" t="n"/>
      <c r="L77" s="11" t="n"/>
    </row>
    <row r="78">
      <c r="A78" s="6" t="n"/>
      <c r="B78" s="6" t="n"/>
      <c r="C78" s="6" t="n"/>
      <c r="D78" s="6" t="n"/>
      <c r="E78" s="11" t="n"/>
      <c r="F78" s="11" t="n"/>
      <c r="G78" s="6" t="n"/>
      <c r="H78" s="6">
        <f>IF($F78="","",$F78-TODAY())</f>
        <v/>
      </c>
      <c r="I78" s="6">
        <f>IF($F78="","",IF(AND($G78&lt;&gt;"Tamamlandı",$G78&lt;&gt;"İptal",$F78&lt;TODAY()),"GECİKTİ","-"))</f>
        <v/>
      </c>
      <c r="J78" s="6" t="n"/>
      <c r="K78" s="6" t="n"/>
      <c r="L78" s="11" t="n"/>
    </row>
    <row r="79">
      <c r="A79" s="6" t="n"/>
      <c r="B79" s="6" t="n"/>
      <c r="C79" s="6" t="n"/>
      <c r="D79" s="6" t="n"/>
      <c r="E79" s="11" t="n"/>
      <c r="F79" s="11" t="n"/>
      <c r="G79" s="6" t="n"/>
      <c r="H79" s="6">
        <f>IF($F79="","",$F79-TODAY())</f>
        <v/>
      </c>
      <c r="I79" s="6">
        <f>IF($F79="","",IF(AND($G79&lt;&gt;"Tamamlandı",$G79&lt;&gt;"İptal",$F79&lt;TODAY()),"GECİKTİ","-"))</f>
        <v/>
      </c>
      <c r="J79" s="6" t="n"/>
      <c r="K79" s="6" t="n"/>
      <c r="L79" s="11" t="n"/>
    </row>
    <row r="80">
      <c r="A80" s="6" t="n"/>
      <c r="B80" s="6" t="n"/>
      <c r="C80" s="6" t="n"/>
      <c r="D80" s="6" t="n"/>
      <c r="E80" s="11" t="n"/>
      <c r="F80" s="11" t="n"/>
      <c r="G80" s="6" t="n"/>
      <c r="H80" s="6">
        <f>IF($F80="","",$F80-TODAY())</f>
        <v/>
      </c>
      <c r="I80" s="6">
        <f>IF($F80="","",IF(AND($G80&lt;&gt;"Tamamlandı",$G80&lt;&gt;"İptal",$F80&lt;TODAY()),"GECİKTİ","-"))</f>
        <v/>
      </c>
      <c r="J80" s="6" t="n"/>
      <c r="K80" s="6" t="n"/>
      <c r="L80" s="11" t="n"/>
    </row>
    <row r="81">
      <c r="A81" s="6" t="n"/>
      <c r="B81" s="6" t="n"/>
      <c r="C81" s="6" t="n"/>
      <c r="D81" s="6" t="n"/>
      <c r="E81" s="11" t="n"/>
      <c r="F81" s="11" t="n"/>
      <c r="G81" s="6" t="n"/>
      <c r="H81" s="6">
        <f>IF($F81="","",$F81-TODAY())</f>
        <v/>
      </c>
      <c r="I81" s="6">
        <f>IF($F81="","",IF(AND($G81&lt;&gt;"Tamamlandı",$G81&lt;&gt;"İptal",$F81&lt;TODAY()),"GECİKTİ","-"))</f>
        <v/>
      </c>
      <c r="J81" s="6" t="n"/>
      <c r="K81" s="6" t="n"/>
      <c r="L81" s="11" t="n"/>
    </row>
    <row r="82">
      <c r="A82" s="6" t="n"/>
      <c r="B82" s="6" t="n"/>
      <c r="C82" s="6" t="n"/>
      <c r="D82" s="6" t="n"/>
      <c r="E82" s="11" t="n"/>
      <c r="F82" s="11" t="n"/>
      <c r="G82" s="6" t="n"/>
      <c r="H82" s="6">
        <f>IF($F82="","",$F82-TODAY())</f>
        <v/>
      </c>
      <c r="I82" s="6">
        <f>IF($F82="","",IF(AND($G82&lt;&gt;"Tamamlandı",$G82&lt;&gt;"İptal",$F82&lt;TODAY()),"GECİKTİ","-"))</f>
        <v/>
      </c>
      <c r="J82" s="6" t="n"/>
      <c r="K82" s="6" t="n"/>
      <c r="L82" s="11" t="n"/>
    </row>
    <row r="83">
      <c r="A83" s="6" t="n"/>
      <c r="B83" s="6" t="n"/>
      <c r="C83" s="6" t="n"/>
      <c r="D83" s="6" t="n"/>
      <c r="E83" s="11" t="n"/>
      <c r="F83" s="11" t="n"/>
      <c r="G83" s="6" t="n"/>
      <c r="H83" s="6">
        <f>IF($F83="","",$F83-TODAY())</f>
        <v/>
      </c>
      <c r="I83" s="6">
        <f>IF($F83="","",IF(AND($G83&lt;&gt;"Tamamlandı",$G83&lt;&gt;"İptal",$F83&lt;TODAY()),"GECİKTİ","-"))</f>
        <v/>
      </c>
      <c r="J83" s="6" t="n"/>
      <c r="K83" s="6" t="n"/>
      <c r="L83" s="11" t="n"/>
    </row>
    <row r="84">
      <c r="A84" s="6" t="n"/>
      <c r="B84" s="6" t="n"/>
      <c r="C84" s="6" t="n"/>
      <c r="D84" s="6" t="n"/>
      <c r="E84" s="11" t="n"/>
      <c r="F84" s="11" t="n"/>
      <c r="G84" s="6" t="n"/>
      <c r="H84" s="6">
        <f>IF($F84="","",$F84-TODAY())</f>
        <v/>
      </c>
      <c r="I84" s="6">
        <f>IF($F84="","",IF(AND($G84&lt;&gt;"Tamamlandı",$G84&lt;&gt;"İptal",$F84&lt;TODAY()),"GECİKTİ","-"))</f>
        <v/>
      </c>
      <c r="J84" s="6" t="n"/>
      <c r="K84" s="6" t="n"/>
      <c r="L84" s="11" t="n"/>
    </row>
    <row r="85">
      <c r="A85" s="6" t="n"/>
      <c r="B85" s="6" t="n"/>
      <c r="C85" s="6" t="n"/>
      <c r="D85" s="6" t="n"/>
      <c r="E85" s="11" t="n"/>
      <c r="F85" s="11" t="n"/>
      <c r="G85" s="6" t="n"/>
      <c r="H85" s="6">
        <f>IF($F85="","",$F85-TODAY())</f>
        <v/>
      </c>
      <c r="I85" s="6">
        <f>IF($F85="","",IF(AND($G85&lt;&gt;"Tamamlandı",$G85&lt;&gt;"İptal",$F85&lt;TODAY()),"GECİKTİ","-"))</f>
        <v/>
      </c>
      <c r="J85" s="6" t="n"/>
      <c r="K85" s="6" t="n"/>
      <c r="L85" s="11" t="n"/>
    </row>
    <row r="86">
      <c r="A86" s="6" t="n"/>
      <c r="B86" s="6" t="n"/>
      <c r="C86" s="6" t="n"/>
      <c r="D86" s="6" t="n"/>
      <c r="E86" s="11" t="n"/>
      <c r="F86" s="11" t="n"/>
      <c r="G86" s="6" t="n"/>
      <c r="H86" s="6">
        <f>IF($F86="","",$F86-TODAY())</f>
        <v/>
      </c>
      <c r="I86" s="6">
        <f>IF($F86="","",IF(AND($G86&lt;&gt;"Tamamlandı",$G86&lt;&gt;"İptal",$F86&lt;TODAY()),"GECİKTİ","-"))</f>
        <v/>
      </c>
      <c r="J86" s="6" t="n"/>
      <c r="K86" s="6" t="n"/>
      <c r="L86" s="11" t="n"/>
    </row>
    <row r="87">
      <c r="A87" s="6" t="n"/>
      <c r="B87" s="6" t="n"/>
      <c r="C87" s="6" t="n"/>
      <c r="D87" s="6" t="n"/>
      <c r="E87" s="11" t="n"/>
      <c r="F87" s="11" t="n"/>
      <c r="G87" s="6" t="n"/>
      <c r="H87" s="6">
        <f>IF($F87="","",$F87-TODAY())</f>
        <v/>
      </c>
      <c r="I87" s="6">
        <f>IF($F87="","",IF(AND($G87&lt;&gt;"Tamamlandı",$G87&lt;&gt;"İptal",$F87&lt;TODAY()),"GECİKTİ","-"))</f>
        <v/>
      </c>
      <c r="J87" s="6" t="n"/>
      <c r="K87" s="6" t="n"/>
      <c r="L87" s="11" t="n"/>
    </row>
    <row r="88">
      <c r="A88" s="6" t="n"/>
      <c r="B88" s="6" t="n"/>
      <c r="C88" s="6" t="n"/>
      <c r="D88" s="6" t="n"/>
      <c r="E88" s="11" t="n"/>
      <c r="F88" s="11" t="n"/>
      <c r="G88" s="6" t="n"/>
      <c r="H88" s="6">
        <f>IF($F88="","",$F88-TODAY())</f>
        <v/>
      </c>
      <c r="I88" s="6">
        <f>IF($F88="","",IF(AND($G88&lt;&gt;"Tamamlandı",$G88&lt;&gt;"İptal",$F88&lt;TODAY()),"GECİKTİ","-"))</f>
        <v/>
      </c>
      <c r="J88" s="6" t="n"/>
      <c r="K88" s="6" t="n"/>
      <c r="L88" s="11" t="n"/>
    </row>
    <row r="89">
      <c r="A89" s="6" t="n"/>
      <c r="B89" s="6" t="n"/>
      <c r="C89" s="6" t="n"/>
      <c r="D89" s="6" t="n"/>
      <c r="E89" s="11" t="n"/>
      <c r="F89" s="11" t="n"/>
      <c r="G89" s="6" t="n"/>
      <c r="H89" s="6">
        <f>IF($F89="","",$F89-TODAY())</f>
        <v/>
      </c>
      <c r="I89" s="6">
        <f>IF($F89="","",IF(AND($G89&lt;&gt;"Tamamlandı",$G89&lt;&gt;"İptal",$F89&lt;TODAY()),"GECİKTİ","-"))</f>
        <v/>
      </c>
      <c r="J89" s="6" t="n"/>
      <c r="K89" s="6" t="n"/>
      <c r="L89" s="11" t="n"/>
    </row>
    <row r="90">
      <c r="A90" s="6" t="n"/>
      <c r="B90" s="6" t="n"/>
      <c r="C90" s="6" t="n"/>
      <c r="D90" s="6" t="n"/>
      <c r="E90" s="11" t="n"/>
      <c r="F90" s="11" t="n"/>
      <c r="G90" s="6" t="n"/>
      <c r="H90" s="6">
        <f>IF($F90="","",$F90-TODAY())</f>
        <v/>
      </c>
      <c r="I90" s="6">
        <f>IF($F90="","",IF(AND($G90&lt;&gt;"Tamamlandı",$G90&lt;&gt;"İptal",$F90&lt;TODAY()),"GECİKTİ","-"))</f>
        <v/>
      </c>
      <c r="J90" s="6" t="n"/>
      <c r="K90" s="6" t="n"/>
      <c r="L90" s="11" t="n"/>
    </row>
    <row r="91">
      <c r="A91" s="6" t="n"/>
      <c r="B91" s="6" t="n"/>
      <c r="C91" s="6" t="n"/>
      <c r="D91" s="6" t="n"/>
      <c r="E91" s="11" t="n"/>
      <c r="F91" s="11" t="n"/>
      <c r="G91" s="6" t="n"/>
      <c r="H91" s="6">
        <f>IF($F91="","",$F91-TODAY())</f>
        <v/>
      </c>
      <c r="I91" s="6">
        <f>IF($F91="","",IF(AND($G91&lt;&gt;"Tamamlandı",$G91&lt;&gt;"İptal",$F91&lt;TODAY()),"GECİKTİ","-"))</f>
        <v/>
      </c>
      <c r="J91" s="6" t="n"/>
      <c r="K91" s="6" t="n"/>
      <c r="L91" s="11" t="n"/>
    </row>
    <row r="92">
      <c r="A92" s="6" t="n"/>
      <c r="B92" s="6" t="n"/>
      <c r="C92" s="6" t="n"/>
      <c r="D92" s="6" t="n"/>
      <c r="E92" s="11" t="n"/>
      <c r="F92" s="11" t="n"/>
      <c r="G92" s="6" t="n"/>
      <c r="H92" s="6">
        <f>IF($F92="","",$F92-TODAY())</f>
        <v/>
      </c>
      <c r="I92" s="6">
        <f>IF($F92="","",IF(AND($G92&lt;&gt;"Tamamlandı",$G92&lt;&gt;"İptal",$F92&lt;TODAY()),"GECİKTİ","-"))</f>
        <v/>
      </c>
      <c r="J92" s="6" t="n"/>
      <c r="K92" s="6" t="n"/>
      <c r="L92" s="11" t="n"/>
    </row>
    <row r="93">
      <c r="A93" s="6" t="n"/>
      <c r="B93" s="6" t="n"/>
      <c r="C93" s="6" t="n"/>
      <c r="D93" s="6" t="n"/>
      <c r="E93" s="11" t="n"/>
      <c r="F93" s="11" t="n"/>
      <c r="G93" s="6" t="n"/>
      <c r="H93" s="6">
        <f>IF($F93="","",$F93-TODAY())</f>
        <v/>
      </c>
      <c r="I93" s="6">
        <f>IF($F93="","",IF(AND($G93&lt;&gt;"Tamamlandı",$G93&lt;&gt;"İptal",$F93&lt;TODAY()),"GECİKTİ","-"))</f>
        <v/>
      </c>
      <c r="J93" s="6" t="n"/>
      <c r="K93" s="6" t="n"/>
      <c r="L93" s="11" t="n"/>
    </row>
    <row r="94">
      <c r="A94" s="6" t="n"/>
      <c r="B94" s="6" t="n"/>
      <c r="C94" s="6" t="n"/>
      <c r="D94" s="6" t="n"/>
      <c r="E94" s="11" t="n"/>
      <c r="F94" s="11" t="n"/>
      <c r="G94" s="6" t="n"/>
      <c r="H94" s="6">
        <f>IF($F94="","",$F94-TODAY())</f>
        <v/>
      </c>
      <c r="I94" s="6">
        <f>IF($F94="","",IF(AND($G94&lt;&gt;"Tamamlandı",$G94&lt;&gt;"İptal",$F94&lt;TODAY()),"GECİKTİ","-"))</f>
        <v/>
      </c>
      <c r="J94" s="6" t="n"/>
      <c r="K94" s="6" t="n"/>
      <c r="L94" s="11" t="n"/>
    </row>
    <row r="95">
      <c r="A95" s="6" t="n"/>
      <c r="B95" s="6" t="n"/>
      <c r="C95" s="6" t="n"/>
      <c r="D95" s="6" t="n"/>
      <c r="E95" s="11" t="n"/>
      <c r="F95" s="11" t="n"/>
      <c r="G95" s="6" t="n"/>
      <c r="H95" s="6">
        <f>IF($F95="","",$F95-TODAY())</f>
        <v/>
      </c>
      <c r="I95" s="6">
        <f>IF($F95="","",IF(AND($G95&lt;&gt;"Tamamlandı",$G95&lt;&gt;"İptal",$F95&lt;TODAY()),"GECİKTİ","-"))</f>
        <v/>
      </c>
      <c r="J95" s="6" t="n"/>
      <c r="K95" s="6" t="n"/>
      <c r="L95" s="11" t="n"/>
    </row>
    <row r="96">
      <c r="A96" s="6" t="n"/>
      <c r="B96" s="6" t="n"/>
      <c r="C96" s="6" t="n"/>
      <c r="D96" s="6" t="n"/>
      <c r="E96" s="11" t="n"/>
      <c r="F96" s="11" t="n"/>
      <c r="G96" s="6" t="n"/>
      <c r="H96" s="6">
        <f>IF($F96="","",$F96-TODAY())</f>
        <v/>
      </c>
      <c r="I96" s="6">
        <f>IF($F96="","",IF(AND($G96&lt;&gt;"Tamamlandı",$G96&lt;&gt;"İptal",$F96&lt;TODAY()),"GECİKTİ","-"))</f>
        <v/>
      </c>
      <c r="J96" s="6" t="n"/>
      <c r="K96" s="6" t="n"/>
      <c r="L96" s="11" t="n"/>
    </row>
    <row r="97">
      <c r="A97" s="6" t="n"/>
      <c r="B97" s="6" t="n"/>
      <c r="C97" s="6" t="n"/>
      <c r="D97" s="6" t="n"/>
      <c r="E97" s="11" t="n"/>
      <c r="F97" s="11" t="n"/>
      <c r="G97" s="6" t="n"/>
      <c r="H97" s="6">
        <f>IF($F97="","",$F97-TODAY())</f>
        <v/>
      </c>
      <c r="I97" s="6">
        <f>IF($F97="","",IF(AND($G97&lt;&gt;"Tamamlandı",$G97&lt;&gt;"İptal",$F97&lt;TODAY()),"GECİKTİ","-"))</f>
        <v/>
      </c>
      <c r="J97" s="6" t="n"/>
      <c r="K97" s="6" t="n"/>
      <c r="L97" s="11" t="n"/>
    </row>
    <row r="98">
      <c r="A98" s="6" t="n"/>
      <c r="B98" s="6" t="n"/>
      <c r="C98" s="6" t="n"/>
      <c r="D98" s="6" t="n"/>
      <c r="E98" s="11" t="n"/>
      <c r="F98" s="11" t="n"/>
      <c r="G98" s="6" t="n"/>
      <c r="H98" s="6">
        <f>IF($F98="","",$F98-TODAY())</f>
        <v/>
      </c>
      <c r="I98" s="6">
        <f>IF($F98="","",IF(AND($G98&lt;&gt;"Tamamlandı",$G98&lt;&gt;"İptal",$F98&lt;TODAY()),"GECİKTİ","-"))</f>
        <v/>
      </c>
      <c r="J98" s="6" t="n"/>
      <c r="K98" s="6" t="n"/>
      <c r="L98" s="11" t="n"/>
    </row>
    <row r="99">
      <c r="A99" s="6" t="n"/>
      <c r="B99" s="6" t="n"/>
      <c r="C99" s="6" t="n"/>
      <c r="D99" s="6" t="n"/>
      <c r="E99" s="11" t="n"/>
      <c r="F99" s="11" t="n"/>
      <c r="G99" s="6" t="n"/>
      <c r="H99" s="6">
        <f>IF($F99="","",$F99-TODAY())</f>
        <v/>
      </c>
      <c r="I99" s="6">
        <f>IF($F99="","",IF(AND($G99&lt;&gt;"Tamamlandı",$G99&lt;&gt;"İptal",$F99&lt;TODAY()),"GECİKTİ","-"))</f>
        <v/>
      </c>
      <c r="J99" s="6" t="n"/>
      <c r="K99" s="6" t="n"/>
      <c r="L99" s="11" t="n"/>
    </row>
    <row r="100">
      <c r="A100" s="6" t="n"/>
      <c r="B100" s="6" t="n"/>
      <c r="C100" s="6" t="n"/>
      <c r="D100" s="6" t="n"/>
      <c r="E100" s="11" t="n"/>
      <c r="F100" s="11" t="n"/>
      <c r="G100" s="6" t="n"/>
      <c r="H100" s="6">
        <f>IF($F100="","",$F100-TODAY())</f>
        <v/>
      </c>
      <c r="I100" s="6">
        <f>IF($F100="","",IF(AND($G100&lt;&gt;"Tamamlandı",$G100&lt;&gt;"İptal",$F100&lt;TODAY()),"GECİKTİ","-"))</f>
        <v/>
      </c>
      <c r="J100" s="6" t="n"/>
      <c r="K100" s="6" t="n"/>
      <c r="L100" s="11" t="n"/>
    </row>
    <row r="101">
      <c r="A101" s="6" t="n"/>
      <c r="B101" s="6" t="n"/>
      <c r="C101" s="6" t="n"/>
      <c r="D101" s="6" t="n"/>
      <c r="E101" s="11" t="n"/>
      <c r="F101" s="11" t="n"/>
      <c r="G101" s="6" t="n"/>
      <c r="H101" s="6">
        <f>IF($F101="","",$F101-TODAY())</f>
        <v/>
      </c>
      <c r="I101" s="6">
        <f>IF($F101="","",IF(AND($G101&lt;&gt;"Tamamlandı",$G101&lt;&gt;"İptal",$F101&lt;TODAY()),"GECİKTİ","-"))</f>
        <v/>
      </c>
      <c r="J101" s="6" t="n"/>
      <c r="K101" s="6" t="n"/>
      <c r="L101" s="11" t="n"/>
    </row>
    <row r="102">
      <c r="A102" s="6" t="n"/>
      <c r="B102" s="6" t="n"/>
      <c r="C102" s="6" t="n"/>
      <c r="D102" s="6" t="n"/>
      <c r="E102" s="11" t="n"/>
      <c r="F102" s="11" t="n"/>
      <c r="G102" s="6" t="n"/>
      <c r="H102" s="6">
        <f>IF($F102="","",$F102-TODAY())</f>
        <v/>
      </c>
      <c r="I102" s="6">
        <f>IF($F102="","",IF(AND($G102&lt;&gt;"Tamamlandı",$G102&lt;&gt;"İptal",$F102&lt;TODAY()),"GECİKTİ","-"))</f>
        <v/>
      </c>
      <c r="J102" s="6" t="n"/>
      <c r="K102" s="6" t="n"/>
      <c r="L102" s="11" t="n"/>
    </row>
    <row r="103">
      <c r="A103" s="6" t="n"/>
      <c r="B103" s="6" t="n"/>
      <c r="C103" s="6" t="n"/>
      <c r="D103" s="6" t="n"/>
      <c r="E103" s="11" t="n"/>
      <c r="F103" s="11" t="n"/>
      <c r="G103" s="6" t="n"/>
      <c r="H103" s="6">
        <f>IF($F103="","",$F103-TODAY())</f>
        <v/>
      </c>
      <c r="I103" s="6">
        <f>IF($F103="","",IF(AND($G103&lt;&gt;"Tamamlandı",$G103&lt;&gt;"İptal",$F103&lt;TODAY()),"GECİKTİ","-"))</f>
        <v/>
      </c>
      <c r="J103" s="6" t="n"/>
      <c r="K103" s="6" t="n"/>
      <c r="L103" s="11" t="n"/>
    </row>
    <row r="104">
      <c r="A104" s="6" t="n"/>
      <c r="B104" s="6" t="n"/>
      <c r="C104" s="6" t="n"/>
      <c r="D104" s="6" t="n"/>
      <c r="E104" s="11" t="n"/>
      <c r="F104" s="11" t="n"/>
      <c r="G104" s="6" t="n"/>
      <c r="H104" s="6">
        <f>IF($F104="","",$F104-TODAY())</f>
        <v/>
      </c>
      <c r="I104" s="6">
        <f>IF($F104="","",IF(AND($G104&lt;&gt;"Tamamlandı",$G104&lt;&gt;"İptal",$F104&lt;TODAY()),"GECİKTİ","-"))</f>
        <v/>
      </c>
      <c r="J104" s="6" t="n"/>
      <c r="K104" s="6" t="n"/>
      <c r="L104" s="11" t="n"/>
    </row>
    <row r="105">
      <c r="A105" s="6" t="n"/>
      <c r="B105" s="6" t="n"/>
      <c r="C105" s="6" t="n"/>
      <c r="D105" s="6" t="n"/>
      <c r="E105" s="11" t="n"/>
      <c r="F105" s="11" t="n"/>
      <c r="G105" s="6" t="n"/>
      <c r="H105" s="6">
        <f>IF($F105="","",$F105-TODAY())</f>
        <v/>
      </c>
      <c r="I105" s="6">
        <f>IF($F105="","",IF(AND($G105&lt;&gt;"Tamamlandı",$G105&lt;&gt;"İptal",$F105&lt;TODAY()),"GECİKTİ","-"))</f>
        <v/>
      </c>
      <c r="J105" s="6" t="n"/>
      <c r="K105" s="6" t="n"/>
      <c r="L105" s="11" t="n"/>
    </row>
    <row r="106">
      <c r="A106" s="6" t="n"/>
      <c r="B106" s="6" t="n"/>
      <c r="C106" s="6" t="n"/>
      <c r="D106" s="6" t="n"/>
      <c r="E106" s="11" t="n"/>
      <c r="F106" s="11" t="n"/>
      <c r="G106" s="6" t="n"/>
      <c r="H106" s="6">
        <f>IF($F106="","",$F106-TODAY())</f>
        <v/>
      </c>
      <c r="I106" s="6">
        <f>IF($F106="","",IF(AND($G106&lt;&gt;"Tamamlandı",$G106&lt;&gt;"İptal",$F106&lt;TODAY()),"GECİKTİ","-"))</f>
        <v/>
      </c>
      <c r="J106" s="6" t="n"/>
      <c r="K106" s="6" t="n"/>
      <c r="L106" s="11" t="n"/>
    </row>
    <row r="107">
      <c r="A107" s="6" t="n"/>
      <c r="B107" s="6" t="n"/>
      <c r="C107" s="6" t="n"/>
      <c r="D107" s="6" t="n"/>
      <c r="E107" s="11" t="n"/>
      <c r="F107" s="11" t="n"/>
      <c r="G107" s="6" t="n"/>
      <c r="H107" s="6">
        <f>IF($F107="","",$F107-TODAY())</f>
        <v/>
      </c>
      <c r="I107" s="6">
        <f>IF($F107="","",IF(AND($G107&lt;&gt;"Tamamlandı",$G107&lt;&gt;"İptal",$F107&lt;TODAY()),"GECİKTİ","-"))</f>
        <v/>
      </c>
      <c r="J107" s="6" t="n"/>
      <c r="K107" s="6" t="n"/>
      <c r="L107" s="11" t="n"/>
    </row>
    <row r="108">
      <c r="A108" s="6" t="n"/>
      <c r="B108" s="6" t="n"/>
      <c r="C108" s="6" t="n"/>
      <c r="D108" s="6" t="n"/>
      <c r="E108" s="11" t="n"/>
      <c r="F108" s="11" t="n"/>
      <c r="G108" s="6" t="n"/>
      <c r="H108" s="6">
        <f>IF($F108="","",$F108-TODAY())</f>
        <v/>
      </c>
      <c r="I108" s="6">
        <f>IF($F108="","",IF(AND($G108&lt;&gt;"Tamamlandı",$G108&lt;&gt;"İptal",$F108&lt;TODAY()),"GECİKTİ","-"))</f>
        <v/>
      </c>
      <c r="J108" s="6" t="n"/>
      <c r="K108" s="6" t="n"/>
      <c r="L108" s="11" t="n"/>
    </row>
    <row r="109">
      <c r="A109" s="6" t="n"/>
      <c r="B109" s="6" t="n"/>
      <c r="C109" s="6" t="n"/>
      <c r="D109" s="6" t="n"/>
      <c r="E109" s="11" t="n"/>
      <c r="F109" s="11" t="n"/>
      <c r="G109" s="6" t="n"/>
      <c r="H109" s="6">
        <f>IF($F109="","",$F109-TODAY())</f>
        <v/>
      </c>
      <c r="I109" s="6">
        <f>IF($F109="","",IF(AND($G109&lt;&gt;"Tamamlandı",$G109&lt;&gt;"İptal",$F109&lt;TODAY()),"GECİKTİ","-"))</f>
        <v/>
      </c>
      <c r="J109" s="6" t="n"/>
      <c r="K109" s="6" t="n"/>
      <c r="L109" s="11" t="n"/>
    </row>
    <row r="110">
      <c r="A110" s="6" t="n"/>
      <c r="B110" s="6" t="n"/>
      <c r="C110" s="6" t="n"/>
      <c r="D110" s="6" t="n"/>
      <c r="E110" s="11" t="n"/>
      <c r="F110" s="11" t="n"/>
      <c r="G110" s="6" t="n"/>
      <c r="H110" s="6">
        <f>IF($F110="","",$F110-TODAY())</f>
        <v/>
      </c>
      <c r="I110" s="6">
        <f>IF($F110="","",IF(AND($G110&lt;&gt;"Tamamlandı",$G110&lt;&gt;"İptal",$F110&lt;TODAY()),"GECİKTİ","-"))</f>
        <v/>
      </c>
      <c r="J110" s="6" t="n"/>
      <c r="K110" s="6" t="n"/>
      <c r="L110" s="11" t="n"/>
    </row>
    <row r="111">
      <c r="A111" s="6" t="n"/>
      <c r="B111" s="6" t="n"/>
      <c r="C111" s="6" t="n"/>
      <c r="D111" s="6" t="n"/>
      <c r="E111" s="11" t="n"/>
      <c r="F111" s="11" t="n"/>
      <c r="G111" s="6" t="n"/>
      <c r="H111" s="6">
        <f>IF($F111="","",$F111-TODAY())</f>
        <v/>
      </c>
      <c r="I111" s="6">
        <f>IF($F111="","",IF(AND($G111&lt;&gt;"Tamamlandı",$G111&lt;&gt;"İptal",$F111&lt;TODAY()),"GECİKTİ","-"))</f>
        <v/>
      </c>
      <c r="J111" s="6" t="n"/>
      <c r="K111" s="6" t="n"/>
      <c r="L111" s="11" t="n"/>
    </row>
    <row r="112">
      <c r="A112" s="6" t="n"/>
      <c r="B112" s="6" t="n"/>
      <c r="C112" s="6" t="n"/>
      <c r="D112" s="6" t="n"/>
      <c r="E112" s="11" t="n"/>
      <c r="F112" s="11" t="n"/>
      <c r="G112" s="6" t="n"/>
      <c r="H112" s="6">
        <f>IF($F112="","",$F112-TODAY())</f>
        <v/>
      </c>
      <c r="I112" s="6">
        <f>IF($F112="","",IF(AND($G112&lt;&gt;"Tamamlandı",$G112&lt;&gt;"İptal",$F112&lt;TODAY()),"GECİKTİ","-"))</f>
        <v/>
      </c>
      <c r="J112" s="6" t="n"/>
      <c r="K112" s="6" t="n"/>
      <c r="L112" s="11" t="n"/>
    </row>
    <row r="113">
      <c r="A113" s="6" t="n"/>
      <c r="B113" s="6" t="n"/>
      <c r="C113" s="6" t="n"/>
      <c r="D113" s="6" t="n"/>
      <c r="E113" s="11" t="n"/>
      <c r="F113" s="11" t="n"/>
      <c r="G113" s="6" t="n"/>
      <c r="H113" s="6">
        <f>IF($F113="","",$F113-TODAY())</f>
        <v/>
      </c>
      <c r="I113" s="6">
        <f>IF($F113="","",IF(AND($G113&lt;&gt;"Tamamlandı",$G113&lt;&gt;"İptal",$F113&lt;TODAY()),"GECİKTİ","-"))</f>
        <v/>
      </c>
      <c r="J113" s="6" t="n"/>
      <c r="K113" s="6" t="n"/>
      <c r="L113" s="11" t="n"/>
    </row>
    <row r="114">
      <c r="A114" s="6" t="n"/>
      <c r="B114" s="6" t="n"/>
      <c r="C114" s="6" t="n"/>
      <c r="D114" s="6" t="n"/>
      <c r="E114" s="11" t="n"/>
      <c r="F114" s="11" t="n"/>
      <c r="G114" s="6" t="n"/>
      <c r="H114" s="6">
        <f>IF($F114="","",$F114-TODAY())</f>
        <v/>
      </c>
      <c r="I114" s="6">
        <f>IF($F114="","",IF(AND($G114&lt;&gt;"Tamamlandı",$G114&lt;&gt;"İptal",$F114&lt;TODAY()),"GECİKTİ","-"))</f>
        <v/>
      </c>
      <c r="J114" s="6" t="n"/>
      <c r="K114" s="6" t="n"/>
      <c r="L114" s="11" t="n"/>
    </row>
    <row r="115">
      <c r="A115" s="6" t="n"/>
      <c r="B115" s="6" t="n"/>
      <c r="C115" s="6" t="n"/>
      <c r="D115" s="6" t="n"/>
      <c r="E115" s="11" t="n"/>
      <c r="F115" s="11" t="n"/>
      <c r="G115" s="6" t="n"/>
      <c r="H115" s="6">
        <f>IF($F115="","",$F115-TODAY())</f>
        <v/>
      </c>
      <c r="I115" s="6">
        <f>IF($F115="","",IF(AND($G115&lt;&gt;"Tamamlandı",$G115&lt;&gt;"İptal",$F115&lt;TODAY()),"GECİKTİ","-"))</f>
        <v/>
      </c>
      <c r="J115" s="6" t="n"/>
      <c r="K115" s="6" t="n"/>
      <c r="L115" s="11" t="n"/>
    </row>
    <row r="116">
      <c r="A116" s="6" t="n"/>
      <c r="B116" s="6" t="n"/>
      <c r="C116" s="6" t="n"/>
      <c r="D116" s="6" t="n"/>
      <c r="E116" s="11" t="n"/>
      <c r="F116" s="11" t="n"/>
      <c r="G116" s="6" t="n"/>
      <c r="H116" s="6">
        <f>IF($F116="","",$F116-TODAY())</f>
        <v/>
      </c>
      <c r="I116" s="6">
        <f>IF($F116="","",IF(AND($G116&lt;&gt;"Tamamlandı",$G116&lt;&gt;"İptal",$F116&lt;TODAY()),"GECİKTİ","-"))</f>
        <v/>
      </c>
      <c r="J116" s="6" t="n"/>
      <c r="K116" s="6" t="n"/>
      <c r="L116" s="11" t="n"/>
    </row>
    <row r="117">
      <c r="A117" s="6" t="n"/>
      <c r="B117" s="6" t="n"/>
      <c r="C117" s="6" t="n"/>
      <c r="D117" s="6" t="n"/>
      <c r="E117" s="11" t="n"/>
      <c r="F117" s="11" t="n"/>
      <c r="G117" s="6" t="n"/>
      <c r="H117" s="6">
        <f>IF($F117="","",$F117-TODAY())</f>
        <v/>
      </c>
      <c r="I117" s="6">
        <f>IF($F117="","",IF(AND($G117&lt;&gt;"Tamamlandı",$G117&lt;&gt;"İptal",$F117&lt;TODAY()),"GECİKTİ","-"))</f>
        <v/>
      </c>
      <c r="J117" s="6" t="n"/>
      <c r="K117" s="6" t="n"/>
      <c r="L117" s="11" t="n"/>
    </row>
    <row r="118">
      <c r="A118" s="6" t="n"/>
      <c r="B118" s="6" t="n"/>
      <c r="C118" s="6" t="n"/>
      <c r="D118" s="6" t="n"/>
      <c r="E118" s="11" t="n"/>
      <c r="F118" s="11" t="n"/>
      <c r="G118" s="6" t="n"/>
      <c r="H118" s="6">
        <f>IF($F118="","",$F118-TODAY())</f>
        <v/>
      </c>
      <c r="I118" s="6">
        <f>IF($F118="","",IF(AND($G118&lt;&gt;"Tamamlandı",$G118&lt;&gt;"İptal",$F118&lt;TODAY()),"GECİKTİ","-"))</f>
        <v/>
      </c>
      <c r="J118" s="6" t="n"/>
      <c r="K118" s="6" t="n"/>
      <c r="L118" s="11" t="n"/>
    </row>
    <row r="119">
      <c r="A119" s="6" t="n"/>
      <c r="B119" s="6" t="n"/>
      <c r="C119" s="6" t="n"/>
      <c r="D119" s="6" t="n"/>
      <c r="E119" s="11" t="n"/>
      <c r="F119" s="11" t="n"/>
      <c r="G119" s="6" t="n"/>
      <c r="H119" s="6">
        <f>IF($F119="","",$F119-TODAY())</f>
        <v/>
      </c>
      <c r="I119" s="6">
        <f>IF($F119="","",IF(AND($G119&lt;&gt;"Tamamlandı",$G119&lt;&gt;"İptal",$F119&lt;TODAY()),"GECİKTİ","-"))</f>
        <v/>
      </c>
      <c r="J119" s="6" t="n"/>
      <c r="K119" s="6" t="n"/>
      <c r="L119" s="11" t="n"/>
    </row>
    <row r="120">
      <c r="A120" s="6" t="n"/>
      <c r="B120" s="6" t="n"/>
      <c r="C120" s="6" t="n"/>
      <c r="D120" s="6" t="n"/>
      <c r="E120" s="11" t="n"/>
      <c r="F120" s="11" t="n"/>
      <c r="G120" s="6" t="n"/>
      <c r="H120" s="6">
        <f>IF($F120="","",$F120-TODAY())</f>
        <v/>
      </c>
      <c r="I120" s="6">
        <f>IF($F120="","",IF(AND($G120&lt;&gt;"Tamamlandı",$G120&lt;&gt;"İptal",$F120&lt;TODAY()),"GECİKTİ","-"))</f>
        <v/>
      </c>
      <c r="J120" s="6" t="n"/>
      <c r="K120" s="6" t="n"/>
      <c r="L120" s="11" t="n"/>
    </row>
    <row r="121">
      <c r="A121" s="6" t="n"/>
      <c r="B121" s="6" t="n"/>
      <c r="C121" s="6" t="n"/>
      <c r="D121" s="6" t="n"/>
      <c r="E121" s="11" t="n"/>
      <c r="F121" s="11" t="n"/>
      <c r="G121" s="6" t="n"/>
      <c r="H121" s="6">
        <f>IF($F121="","",$F121-TODAY())</f>
        <v/>
      </c>
      <c r="I121" s="6">
        <f>IF($F121="","",IF(AND($G121&lt;&gt;"Tamamlandı",$G121&lt;&gt;"İptal",$F121&lt;TODAY()),"GECİKTİ","-"))</f>
        <v/>
      </c>
      <c r="J121" s="6" t="n"/>
      <c r="K121" s="6" t="n"/>
      <c r="L121" s="11" t="n"/>
    </row>
    <row r="122">
      <c r="A122" s="6" t="n"/>
      <c r="B122" s="6" t="n"/>
      <c r="C122" s="6" t="n"/>
      <c r="D122" s="6" t="n"/>
      <c r="E122" s="11" t="n"/>
      <c r="F122" s="11" t="n"/>
      <c r="G122" s="6" t="n"/>
      <c r="H122" s="6">
        <f>IF($F122="","",$F122-TODAY())</f>
        <v/>
      </c>
      <c r="I122" s="6">
        <f>IF($F122="","",IF(AND($G122&lt;&gt;"Tamamlandı",$G122&lt;&gt;"İptal",$F122&lt;TODAY()),"GECİKTİ","-"))</f>
        <v/>
      </c>
      <c r="J122" s="6" t="n"/>
      <c r="K122" s="6" t="n"/>
      <c r="L122" s="11" t="n"/>
    </row>
    <row r="123">
      <c r="A123" s="6" t="n"/>
      <c r="B123" s="6" t="n"/>
      <c r="C123" s="6" t="n"/>
      <c r="D123" s="6" t="n"/>
      <c r="E123" s="11" t="n"/>
      <c r="F123" s="11" t="n"/>
      <c r="G123" s="6" t="n"/>
      <c r="H123" s="6">
        <f>IF($F123="","",$F123-TODAY())</f>
        <v/>
      </c>
      <c r="I123" s="6">
        <f>IF($F123="","",IF(AND($G123&lt;&gt;"Tamamlandı",$G123&lt;&gt;"İptal",$F123&lt;TODAY()),"GECİKTİ","-"))</f>
        <v/>
      </c>
      <c r="J123" s="6" t="n"/>
      <c r="K123" s="6" t="n"/>
      <c r="L123" s="11" t="n"/>
    </row>
    <row r="124">
      <c r="A124" s="6" t="n"/>
      <c r="B124" s="6" t="n"/>
      <c r="C124" s="6" t="n"/>
      <c r="D124" s="6" t="n"/>
      <c r="E124" s="11" t="n"/>
      <c r="F124" s="11" t="n"/>
      <c r="G124" s="6" t="n"/>
      <c r="H124" s="6">
        <f>IF($F124="","",$F124-TODAY())</f>
        <v/>
      </c>
      <c r="I124" s="6">
        <f>IF($F124="","",IF(AND($G124&lt;&gt;"Tamamlandı",$G124&lt;&gt;"İptal",$F124&lt;TODAY()),"GECİKTİ","-"))</f>
        <v/>
      </c>
      <c r="J124" s="6" t="n"/>
      <c r="K124" s="6" t="n"/>
      <c r="L124" s="11" t="n"/>
    </row>
    <row r="125">
      <c r="A125" s="6" t="n"/>
      <c r="B125" s="6" t="n"/>
      <c r="C125" s="6" t="n"/>
      <c r="D125" s="6" t="n"/>
      <c r="E125" s="11" t="n"/>
      <c r="F125" s="11" t="n"/>
      <c r="G125" s="6" t="n"/>
      <c r="H125" s="6">
        <f>IF($F125="","",$F125-TODAY())</f>
        <v/>
      </c>
      <c r="I125" s="6">
        <f>IF($F125="","",IF(AND($G125&lt;&gt;"Tamamlandı",$G125&lt;&gt;"İptal",$F125&lt;TODAY()),"GECİKTİ","-"))</f>
        <v/>
      </c>
      <c r="J125" s="6" t="n"/>
      <c r="K125" s="6" t="n"/>
      <c r="L125" s="11" t="n"/>
    </row>
    <row r="126">
      <c r="A126" s="6" t="n"/>
      <c r="B126" s="6" t="n"/>
      <c r="C126" s="6" t="n"/>
      <c r="D126" s="6" t="n"/>
      <c r="E126" s="11" t="n"/>
      <c r="F126" s="11" t="n"/>
      <c r="G126" s="6" t="n"/>
      <c r="H126" s="6">
        <f>IF($F126="","",$F126-TODAY())</f>
        <v/>
      </c>
      <c r="I126" s="6">
        <f>IF($F126="","",IF(AND($G126&lt;&gt;"Tamamlandı",$G126&lt;&gt;"İptal",$F126&lt;TODAY()),"GECİKTİ","-"))</f>
        <v/>
      </c>
      <c r="J126" s="6" t="n"/>
      <c r="K126" s="6" t="n"/>
      <c r="L126" s="11" t="n"/>
    </row>
    <row r="127">
      <c r="A127" s="6" t="n"/>
      <c r="B127" s="6" t="n"/>
      <c r="C127" s="6" t="n"/>
      <c r="D127" s="6" t="n"/>
      <c r="E127" s="11" t="n"/>
      <c r="F127" s="11" t="n"/>
      <c r="G127" s="6" t="n"/>
      <c r="H127" s="6">
        <f>IF($F127="","",$F127-TODAY())</f>
        <v/>
      </c>
      <c r="I127" s="6">
        <f>IF($F127="","",IF(AND($G127&lt;&gt;"Tamamlandı",$G127&lt;&gt;"İptal",$F127&lt;TODAY()),"GECİKTİ","-"))</f>
        <v/>
      </c>
      <c r="J127" s="6" t="n"/>
      <c r="K127" s="6" t="n"/>
      <c r="L127" s="11" t="n"/>
    </row>
    <row r="128">
      <c r="A128" s="6" t="n"/>
      <c r="B128" s="6" t="n"/>
      <c r="C128" s="6" t="n"/>
      <c r="D128" s="6" t="n"/>
      <c r="E128" s="11" t="n"/>
      <c r="F128" s="11" t="n"/>
      <c r="G128" s="6" t="n"/>
      <c r="H128" s="6">
        <f>IF($F128="","",$F128-TODAY())</f>
        <v/>
      </c>
      <c r="I128" s="6">
        <f>IF($F128="","",IF(AND($G128&lt;&gt;"Tamamlandı",$G128&lt;&gt;"İptal",$F128&lt;TODAY()),"GECİKTİ","-"))</f>
        <v/>
      </c>
      <c r="J128" s="6" t="n"/>
      <c r="K128" s="6" t="n"/>
      <c r="L128" s="11" t="n"/>
    </row>
    <row r="129">
      <c r="A129" s="6" t="n"/>
      <c r="B129" s="6" t="n"/>
      <c r="C129" s="6" t="n"/>
      <c r="D129" s="6" t="n"/>
      <c r="E129" s="11" t="n"/>
      <c r="F129" s="11" t="n"/>
      <c r="G129" s="6" t="n"/>
      <c r="H129" s="6">
        <f>IF($F129="","",$F129-TODAY())</f>
        <v/>
      </c>
      <c r="I129" s="6">
        <f>IF($F129="","",IF(AND($G129&lt;&gt;"Tamamlandı",$G129&lt;&gt;"İptal",$F129&lt;TODAY()),"GECİKTİ","-"))</f>
        <v/>
      </c>
      <c r="J129" s="6" t="n"/>
      <c r="K129" s="6" t="n"/>
      <c r="L129" s="11" t="n"/>
    </row>
    <row r="130">
      <c r="A130" s="6" t="n"/>
      <c r="B130" s="6" t="n"/>
      <c r="C130" s="6" t="n"/>
      <c r="D130" s="6" t="n"/>
      <c r="E130" s="11" t="n"/>
      <c r="F130" s="11" t="n"/>
      <c r="G130" s="6" t="n"/>
      <c r="H130" s="6">
        <f>IF($F130="","",$F130-TODAY())</f>
        <v/>
      </c>
      <c r="I130" s="6">
        <f>IF($F130="","",IF(AND($G130&lt;&gt;"Tamamlandı",$G130&lt;&gt;"İptal",$F130&lt;TODAY()),"GECİKTİ","-"))</f>
        <v/>
      </c>
      <c r="J130" s="6" t="n"/>
      <c r="K130" s="6" t="n"/>
      <c r="L130" s="11" t="n"/>
    </row>
    <row r="131">
      <c r="A131" s="6" t="n"/>
      <c r="B131" s="6" t="n"/>
      <c r="C131" s="6" t="n"/>
      <c r="D131" s="6" t="n"/>
      <c r="E131" s="11" t="n"/>
      <c r="F131" s="11" t="n"/>
      <c r="G131" s="6" t="n"/>
      <c r="H131" s="6">
        <f>IF($F131="","",$F131-TODAY())</f>
        <v/>
      </c>
      <c r="I131" s="6">
        <f>IF($F131="","",IF(AND($G131&lt;&gt;"Tamamlandı",$G131&lt;&gt;"İptal",$F131&lt;TODAY()),"GECİKTİ","-"))</f>
        <v/>
      </c>
      <c r="J131" s="6" t="n"/>
      <c r="K131" s="6" t="n"/>
      <c r="L131" s="11" t="n"/>
    </row>
    <row r="132">
      <c r="A132" s="6" t="n"/>
      <c r="B132" s="6" t="n"/>
      <c r="C132" s="6" t="n"/>
      <c r="D132" s="6" t="n"/>
      <c r="E132" s="11" t="n"/>
      <c r="F132" s="11" t="n"/>
      <c r="G132" s="6" t="n"/>
      <c r="H132" s="6">
        <f>IF($F132="","",$F132-TODAY())</f>
        <v/>
      </c>
      <c r="I132" s="6">
        <f>IF($F132="","",IF(AND($G132&lt;&gt;"Tamamlandı",$G132&lt;&gt;"İptal",$F132&lt;TODAY()),"GECİKTİ","-"))</f>
        <v/>
      </c>
      <c r="J132" s="6" t="n"/>
      <c r="K132" s="6" t="n"/>
      <c r="L132" s="11" t="n"/>
    </row>
    <row r="133">
      <c r="A133" s="6" t="n"/>
      <c r="B133" s="6" t="n"/>
      <c r="C133" s="6" t="n"/>
      <c r="D133" s="6" t="n"/>
      <c r="E133" s="11" t="n"/>
      <c r="F133" s="11" t="n"/>
      <c r="G133" s="6" t="n"/>
      <c r="H133" s="6">
        <f>IF($F133="","",$F133-TODAY())</f>
        <v/>
      </c>
      <c r="I133" s="6">
        <f>IF($F133="","",IF(AND($G133&lt;&gt;"Tamamlandı",$G133&lt;&gt;"İptal",$F133&lt;TODAY()),"GECİKTİ","-"))</f>
        <v/>
      </c>
      <c r="J133" s="6" t="n"/>
      <c r="K133" s="6" t="n"/>
      <c r="L133" s="11" t="n"/>
    </row>
    <row r="134">
      <c r="A134" s="6" t="n"/>
      <c r="B134" s="6" t="n"/>
      <c r="C134" s="6" t="n"/>
      <c r="D134" s="6" t="n"/>
      <c r="E134" s="11" t="n"/>
      <c r="F134" s="11" t="n"/>
      <c r="G134" s="6" t="n"/>
      <c r="H134" s="6">
        <f>IF($F134="","",$F134-TODAY())</f>
        <v/>
      </c>
      <c r="I134" s="6">
        <f>IF($F134="","",IF(AND($G134&lt;&gt;"Tamamlandı",$G134&lt;&gt;"İptal",$F134&lt;TODAY()),"GECİKTİ","-"))</f>
        <v/>
      </c>
      <c r="J134" s="6" t="n"/>
      <c r="K134" s="6" t="n"/>
      <c r="L134" s="11" t="n"/>
    </row>
    <row r="135">
      <c r="A135" s="6" t="n"/>
      <c r="B135" s="6" t="n"/>
      <c r="C135" s="6" t="n"/>
      <c r="D135" s="6" t="n"/>
      <c r="E135" s="11" t="n"/>
      <c r="F135" s="11" t="n"/>
      <c r="G135" s="6" t="n"/>
      <c r="H135" s="6">
        <f>IF($F135="","",$F135-TODAY())</f>
        <v/>
      </c>
      <c r="I135" s="6">
        <f>IF($F135="","",IF(AND($G135&lt;&gt;"Tamamlandı",$G135&lt;&gt;"İptal",$F135&lt;TODAY()),"GECİKTİ","-"))</f>
        <v/>
      </c>
      <c r="J135" s="6" t="n"/>
      <c r="K135" s="6" t="n"/>
      <c r="L135" s="11" t="n"/>
    </row>
    <row r="136">
      <c r="A136" s="6" t="n"/>
      <c r="B136" s="6" t="n"/>
      <c r="C136" s="6" t="n"/>
      <c r="D136" s="6" t="n"/>
      <c r="E136" s="11" t="n"/>
      <c r="F136" s="11" t="n"/>
      <c r="G136" s="6" t="n"/>
      <c r="H136" s="6">
        <f>IF($F136="","",$F136-TODAY())</f>
        <v/>
      </c>
      <c r="I136" s="6">
        <f>IF($F136="","",IF(AND($G136&lt;&gt;"Tamamlandı",$G136&lt;&gt;"İptal",$F136&lt;TODAY()),"GECİKTİ","-"))</f>
        <v/>
      </c>
      <c r="J136" s="6" t="n"/>
      <c r="K136" s="6" t="n"/>
      <c r="L136" s="11" t="n"/>
    </row>
    <row r="137">
      <c r="A137" s="6" t="n"/>
      <c r="B137" s="6" t="n"/>
      <c r="C137" s="6" t="n"/>
      <c r="D137" s="6" t="n"/>
      <c r="E137" s="11" t="n"/>
      <c r="F137" s="11" t="n"/>
      <c r="G137" s="6" t="n"/>
      <c r="H137" s="6">
        <f>IF($F137="","",$F137-TODAY())</f>
        <v/>
      </c>
      <c r="I137" s="6">
        <f>IF($F137="","",IF(AND($G137&lt;&gt;"Tamamlandı",$G137&lt;&gt;"İptal",$F137&lt;TODAY()),"GECİKTİ","-"))</f>
        <v/>
      </c>
      <c r="J137" s="6" t="n"/>
      <c r="K137" s="6" t="n"/>
      <c r="L137" s="11" t="n"/>
    </row>
    <row r="138">
      <c r="A138" s="6" t="n"/>
      <c r="B138" s="6" t="n"/>
      <c r="C138" s="6" t="n"/>
      <c r="D138" s="6" t="n"/>
      <c r="E138" s="11" t="n"/>
      <c r="F138" s="11" t="n"/>
      <c r="G138" s="6" t="n"/>
      <c r="H138" s="6">
        <f>IF($F138="","",$F138-TODAY())</f>
        <v/>
      </c>
      <c r="I138" s="6">
        <f>IF($F138="","",IF(AND($G138&lt;&gt;"Tamamlandı",$G138&lt;&gt;"İptal",$F138&lt;TODAY()),"GECİKTİ","-"))</f>
        <v/>
      </c>
      <c r="J138" s="6" t="n"/>
      <c r="K138" s="6" t="n"/>
      <c r="L138" s="11" t="n"/>
    </row>
    <row r="139">
      <c r="A139" s="6" t="n"/>
      <c r="B139" s="6" t="n"/>
      <c r="C139" s="6" t="n"/>
      <c r="D139" s="6" t="n"/>
      <c r="E139" s="11" t="n"/>
      <c r="F139" s="11" t="n"/>
      <c r="G139" s="6" t="n"/>
      <c r="H139" s="6">
        <f>IF($F139="","",$F139-TODAY())</f>
        <v/>
      </c>
      <c r="I139" s="6">
        <f>IF($F139="","",IF(AND($G139&lt;&gt;"Tamamlandı",$G139&lt;&gt;"İptal",$F139&lt;TODAY()),"GECİKTİ","-"))</f>
        <v/>
      </c>
      <c r="J139" s="6" t="n"/>
      <c r="K139" s="6" t="n"/>
      <c r="L139" s="11" t="n"/>
    </row>
    <row r="140">
      <c r="A140" s="6" t="n"/>
      <c r="B140" s="6" t="n"/>
      <c r="C140" s="6" t="n"/>
      <c r="D140" s="6" t="n"/>
      <c r="E140" s="11" t="n"/>
      <c r="F140" s="11" t="n"/>
      <c r="G140" s="6" t="n"/>
      <c r="H140" s="6">
        <f>IF($F140="","",$F140-TODAY())</f>
        <v/>
      </c>
      <c r="I140" s="6">
        <f>IF($F140="","",IF(AND($G140&lt;&gt;"Tamamlandı",$G140&lt;&gt;"İptal",$F140&lt;TODAY()),"GECİKTİ","-"))</f>
        <v/>
      </c>
      <c r="J140" s="6" t="n"/>
      <c r="K140" s="6" t="n"/>
      <c r="L140" s="11" t="n"/>
    </row>
    <row r="141">
      <c r="A141" s="6" t="n"/>
      <c r="B141" s="6" t="n"/>
      <c r="C141" s="6" t="n"/>
      <c r="D141" s="6" t="n"/>
      <c r="E141" s="11" t="n"/>
      <c r="F141" s="11" t="n"/>
      <c r="G141" s="6" t="n"/>
      <c r="H141" s="6">
        <f>IF($F141="","",$F141-TODAY())</f>
        <v/>
      </c>
      <c r="I141" s="6">
        <f>IF($F141="","",IF(AND($G141&lt;&gt;"Tamamlandı",$G141&lt;&gt;"İptal",$F141&lt;TODAY()),"GECİKTİ","-"))</f>
        <v/>
      </c>
      <c r="J141" s="6" t="n"/>
      <c r="K141" s="6" t="n"/>
      <c r="L141" s="11" t="n"/>
    </row>
    <row r="142">
      <c r="A142" s="6" t="n"/>
      <c r="B142" s="6" t="n"/>
      <c r="C142" s="6" t="n"/>
      <c r="D142" s="6" t="n"/>
      <c r="E142" s="11" t="n"/>
      <c r="F142" s="11" t="n"/>
      <c r="G142" s="6" t="n"/>
      <c r="H142" s="6">
        <f>IF($F142="","",$F142-TODAY())</f>
        <v/>
      </c>
      <c r="I142" s="6">
        <f>IF($F142="","",IF(AND($G142&lt;&gt;"Tamamlandı",$G142&lt;&gt;"İptal",$F142&lt;TODAY()),"GECİKTİ","-"))</f>
        <v/>
      </c>
      <c r="J142" s="6" t="n"/>
      <c r="K142" s="6" t="n"/>
      <c r="L142" s="11" t="n"/>
    </row>
    <row r="143">
      <c r="A143" s="6" t="n"/>
      <c r="B143" s="6" t="n"/>
      <c r="C143" s="6" t="n"/>
      <c r="D143" s="6" t="n"/>
      <c r="E143" s="11" t="n"/>
      <c r="F143" s="11" t="n"/>
      <c r="G143" s="6" t="n"/>
      <c r="H143" s="6">
        <f>IF($F143="","",$F143-TODAY())</f>
        <v/>
      </c>
      <c r="I143" s="6">
        <f>IF($F143="","",IF(AND($G143&lt;&gt;"Tamamlandı",$G143&lt;&gt;"İptal",$F143&lt;TODAY()),"GECİKTİ","-"))</f>
        <v/>
      </c>
      <c r="J143" s="6" t="n"/>
      <c r="K143" s="6" t="n"/>
      <c r="L143" s="11" t="n"/>
    </row>
    <row r="144">
      <c r="A144" s="6" t="n"/>
      <c r="B144" s="6" t="n"/>
      <c r="C144" s="6" t="n"/>
      <c r="D144" s="6" t="n"/>
      <c r="E144" s="11" t="n"/>
      <c r="F144" s="11" t="n"/>
      <c r="G144" s="6" t="n"/>
      <c r="H144" s="6">
        <f>IF($F144="","",$F144-TODAY())</f>
        <v/>
      </c>
      <c r="I144" s="6">
        <f>IF($F144="","",IF(AND($G144&lt;&gt;"Tamamlandı",$G144&lt;&gt;"İptal",$F144&lt;TODAY()),"GECİKTİ","-"))</f>
        <v/>
      </c>
      <c r="J144" s="6" t="n"/>
      <c r="K144" s="6" t="n"/>
      <c r="L144" s="11" t="n"/>
    </row>
    <row r="145">
      <c r="A145" s="6" t="n"/>
      <c r="B145" s="6" t="n"/>
      <c r="C145" s="6" t="n"/>
      <c r="D145" s="6" t="n"/>
      <c r="E145" s="11" t="n"/>
      <c r="F145" s="11" t="n"/>
      <c r="G145" s="6" t="n"/>
      <c r="H145" s="6">
        <f>IF($F145="","",$F145-TODAY())</f>
        <v/>
      </c>
      <c r="I145" s="6">
        <f>IF($F145="","",IF(AND($G145&lt;&gt;"Tamamlandı",$G145&lt;&gt;"İptal",$F145&lt;TODAY()),"GECİKTİ","-"))</f>
        <v/>
      </c>
      <c r="J145" s="6" t="n"/>
      <c r="K145" s="6" t="n"/>
      <c r="L145" s="11" t="n"/>
    </row>
    <row r="146">
      <c r="A146" s="6" t="n"/>
      <c r="B146" s="6" t="n"/>
      <c r="C146" s="6" t="n"/>
      <c r="D146" s="6" t="n"/>
      <c r="E146" s="11" t="n"/>
      <c r="F146" s="11" t="n"/>
      <c r="G146" s="6" t="n"/>
      <c r="H146" s="6">
        <f>IF($F146="","",$F146-TODAY())</f>
        <v/>
      </c>
      <c r="I146" s="6">
        <f>IF($F146="","",IF(AND($G146&lt;&gt;"Tamamlandı",$G146&lt;&gt;"İptal",$F146&lt;TODAY()),"GECİKTİ","-"))</f>
        <v/>
      </c>
      <c r="J146" s="6" t="n"/>
      <c r="K146" s="6" t="n"/>
      <c r="L146" s="11" t="n"/>
    </row>
    <row r="147">
      <c r="A147" s="6" t="n"/>
      <c r="B147" s="6" t="n"/>
      <c r="C147" s="6" t="n"/>
      <c r="D147" s="6" t="n"/>
      <c r="E147" s="11" t="n"/>
      <c r="F147" s="11" t="n"/>
      <c r="G147" s="6" t="n"/>
      <c r="H147" s="6">
        <f>IF($F147="","",$F147-TODAY())</f>
        <v/>
      </c>
      <c r="I147" s="6">
        <f>IF($F147="","",IF(AND($G147&lt;&gt;"Tamamlandı",$G147&lt;&gt;"İptal",$F147&lt;TODAY()),"GECİKTİ","-"))</f>
        <v/>
      </c>
      <c r="J147" s="6" t="n"/>
      <c r="K147" s="6" t="n"/>
      <c r="L147" s="11" t="n"/>
    </row>
    <row r="148">
      <c r="A148" s="6" t="n"/>
      <c r="B148" s="6" t="n"/>
      <c r="C148" s="6" t="n"/>
      <c r="D148" s="6" t="n"/>
      <c r="E148" s="11" t="n"/>
      <c r="F148" s="11" t="n"/>
      <c r="G148" s="6" t="n"/>
      <c r="H148" s="6">
        <f>IF($F148="","",$F148-TODAY())</f>
        <v/>
      </c>
      <c r="I148" s="6">
        <f>IF($F148="","",IF(AND($G148&lt;&gt;"Tamamlandı",$G148&lt;&gt;"İptal",$F148&lt;TODAY()),"GECİKTİ","-"))</f>
        <v/>
      </c>
      <c r="J148" s="6" t="n"/>
      <c r="K148" s="6" t="n"/>
      <c r="L148" s="11" t="n"/>
    </row>
    <row r="149">
      <c r="A149" s="6" t="n"/>
      <c r="B149" s="6" t="n"/>
      <c r="C149" s="6" t="n"/>
      <c r="D149" s="6" t="n"/>
      <c r="E149" s="11" t="n"/>
      <c r="F149" s="11" t="n"/>
      <c r="G149" s="6" t="n"/>
      <c r="H149" s="6">
        <f>IF($F149="","",$F149-TODAY())</f>
        <v/>
      </c>
      <c r="I149" s="6">
        <f>IF($F149="","",IF(AND($G149&lt;&gt;"Tamamlandı",$G149&lt;&gt;"İptal",$F149&lt;TODAY()),"GECİKTİ","-"))</f>
        <v/>
      </c>
      <c r="J149" s="6" t="n"/>
      <c r="K149" s="6" t="n"/>
      <c r="L149" s="11" t="n"/>
    </row>
    <row r="150">
      <c r="A150" s="6" t="n"/>
      <c r="B150" s="6" t="n"/>
      <c r="C150" s="6" t="n"/>
      <c r="D150" s="6" t="n"/>
      <c r="E150" s="11" t="n"/>
      <c r="F150" s="11" t="n"/>
      <c r="G150" s="6" t="n"/>
      <c r="H150" s="6">
        <f>IF($F150="","",$F150-TODAY())</f>
        <v/>
      </c>
      <c r="I150" s="6">
        <f>IF($F150="","",IF(AND($G150&lt;&gt;"Tamamlandı",$G150&lt;&gt;"İptal",$F150&lt;TODAY()),"GECİKTİ","-"))</f>
        <v/>
      </c>
      <c r="J150" s="6" t="n"/>
      <c r="K150" s="6" t="n"/>
      <c r="L150" s="11" t="n"/>
    </row>
    <row r="151">
      <c r="A151" s="6" t="n"/>
      <c r="B151" s="6" t="n"/>
      <c r="C151" s="6" t="n"/>
      <c r="D151" s="6" t="n"/>
      <c r="E151" s="11" t="n"/>
      <c r="F151" s="11" t="n"/>
      <c r="G151" s="6" t="n"/>
      <c r="H151" s="6">
        <f>IF($F151="","",$F151-TODAY())</f>
        <v/>
      </c>
      <c r="I151" s="6">
        <f>IF($F151="","",IF(AND($G151&lt;&gt;"Tamamlandı",$G151&lt;&gt;"İptal",$F151&lt;TODAY()),"GECİKTİ","-"))</f>
        <v/>
      </c>
      <c r="J151" s="6" t="n"/>
      <c r="K151" s="6" t="n"/>
      <c r="L151" s="11" t="n"/>
    </row>
    <row r="152">
      <c r="A152" s="6" t="n"/>
      <c r="B152" s="6" t="n"/>
      <c r="C152" s="6" t="n"/>
      <c r="D152" s="6" t="n"/>
      <c r="E152" s="11" t="n"/>
      <c r="F152" s="11" t="n"/>
      <c r="G152" s="6" t="n"/>
      <c r="H152" s="6">
        <f>IF($F152="","",$F152-TODAY())</f>
        <v/>
      </c>
      <c r="I152" s="6">
        <f>IF($F152="","",IF(AND($G152&lt;&gt;"Tamamlandı",$G152&lt;&gt;"İptal",$F152&lt;TODAY()),"GECİKTİ","-"))</f>
        <v/>
      </c>
      <c r="J152" s="6" t="n"/>
      <c r="K152" s="6" t="n"/>
      <c r="L152" s="11" t="n"/>
    </row>
    <row r="153">
      <c r="A153" s="6" t="n"/>
      <c r="B153" s="6" t="n"/>
      <c r="C153" s="6" t="n"/>
      <c r="D153" s="6" t="n"/>
      <c r="E153" s="11" t="n"/>
      <c r="F153" s="11" t="n"/>
      <c r="G153" s="6" t="n"/>
      <c r="H153" s="6">
        <f>IF($F153="","",$F153-TODAY())</f>
        <v/>
      </c>
      <c r="I153" s="6">
        <f>IF($F153="","",IF(AND($G153&lt;&gt;"Tamamlandı",$G153&lt;&gt;"İptal",$F153&lt;TODAY()),"GECİKTİ","-"))</f>
        <v/>
      </c>
      <c r="J153" s="6" t="n"/>
      <c r="K153" s="6" t="n"/>
      <c r="L153" s="11" t="n"/>
    </row>
    <row r="154">
      <c r="A154" s="6" t="n"/>
      <c r="B154" s="6" t="n"/>
      <c r="C154" s="6" t="n"/>
      <c r="D154" s="6" t="n"/>
      <c r="E154" s="11" t="n"/>
      <c r="F154" s="11" t="n"/>
      <c r="G154" s="6" t="n"/>
      <c r="H154" s="6">
        <f>IF($F154="","",$F154-TODAY())</f>
        <v/>
      </c>
      <c r="I154" s="6">
        <f>IF($F154="","",IF(AND($G154&lt;&gt;"Tamamlandı",$G154&lt;&gt;"İptal",$F154&lt;TODAY()),"GECİKTİ","-"))</f>
        <v/>
      </c>
      <c r="J154" s="6" t="n"/>
      <c r="K154" s="6" t="n"/>
      <c r="L154" s="11" t="n"/>
    </row>
    <row r="155">
      <c r="A155" s="6" t="n"/>
      <c r="B155" s="6" t="n"/>
      <c r="C155" s="6" t="n"/>
      <c r="D155" s="6" t="n"/>
      <c r="E155" s="11" t="n"/>
      <c r="F155" s="11" t="n"/>
      <c r="G155" s="6" t="n"/>
      <c r="H155" s="6">
        <f>IF($F155="","",$F155-TODAY())</f>
        <v/>
      </c>
      <c r="I155" s="6">
        <f>IF($F155="","",IF(AND($G155&lt;&gt;"Tamamlandı",$G155&lt;&gt;"İptal",$F155&lt;TODAY()),"GECİKTİ","-"))</f>
        <v/>
      </c>
      <c r="J155" s="6" t="n"/>
      <c r="K155" s="6" t="n"/>
      <c r="L155" s="11" t="n"/>
    </row>
    <row r="156">
      <c r="A156" s="6" t="n"/>
      <c r="B156" s="6" t="n"/>
      <c r="C156" s="6" t="n"/>
      <c r="D156" s="6" t="n"/>
      <c r="E156" s="11" t="n"/>
      <c r="F156" s="11" t="n"/>
      <c r="G156" s="6" t="n"/>
      <c r="H156" s="6">
        <f>IF($F156="","",$F156-TODAY())</f>
        <v/>
      </c>
      <c r="I156" s="6">
        <f>IF($F156="","",IF(AND($G156&lt;&gt;"Tamamlandı",$G156&lt;&gt;"İptal",$F156&lt;TODAY()),"GECİKTİ","-"))</f>
        <v/>
      </c>
      <c r="J156" s="6" t="n"/>
      <c r="K156" s="6" t="n"/>
      <c r="L156" s="11" t="n"/>
    </row>
    <row r="157">
      <c r="A157" s="6" t="n"/>
      <c r="B157" s="6" t="n"/>
      <c r="C157" s="6" t="n"/>
      <c r="D157" s="6" t="n"/>
      <c r="E157" s="11" t="n"/>
      <c r="F157" s="11" t="n"/>
      <c r="G157" s="6" t="n"/>
      <c r="H157" s="6">
        <f>IF($F157="","",$F157-TODAY())</f>
        <v/>
      </c>
      <c r="I157" s="6">
        <f>IF($F157="","",IF(AND($G157&lt;&gt;"Tamamlandı",$G157&lt;&gt;"İptal",$F157&lt;TODAY()),"GECİKTİ","-"))</f>
        <v/>
      </c>
      <c r="J157" s="6" t="n"/>
      <c r="K157" s="6" t="n"/>
      <c r="L157" s="11" t="n"/>
    </row>
    <row r="158">
      <c r="A158" s="6" t="n"/>
      <c r="B158" s="6" t="n"/>
      <c r="C158" s="6" t="n"/>
      <c r="D158" s="6" t="n"/>
      <c r="E158" s="11" t="n"/>
      <c r="F158" s="11" t="n"/>
      <c r="G158" s="6" t="n"/>
      <c r="H158" s="6">
        <f>IF($F158="","",$F158-TODAY())</f>
        <v/>
      </c>
      <c r="I158" s="6">
        <f>IF($F158="","",IF(AND($G158&lt;&gt;"Tamamlandı",$G158&lt;&gt;"İptal",$F158&lt;TODAY()),"GECİKTİ","-"))</f>
        <v/>
      </c>
      <c r="J158" s="6" t="n"/>
      <c r="K158" s="6" t="n"/>
      <c r="L158" s="11" t="n"/>
    </row>
    <row r="159">
      <c r="A159" s="6" t="n"/>
      <c r="B159" s="6" t="n"/>
      <c r="C159" s="6" t="n"/>
      <c r="D159" s="6" t="n"/>
      <c r="E159" s="11" t="n"/>
      <c r="F159" s="11" t="n"/>
      <c r="G159" s="6" t="n"/>
      <c r="H159" s="6">
        <f>IF($F159="","",$F159-TODAY())</f>
        <v/>
      </c>
      <c r="I159" s="6">
        <f>IF($F159="","",IF(AND($G159&lt;&gt;"Tamamlandı",$G159&lt;&gt;"İptal",$F159&lt;TODAY()),"GECİKTİ","-"))</f>
        <v/>
      </c>
      <c r="J159" s="6" t="n"/>
      <c r="K159" s="6" t="n"/>
      <c r="L159" s="11" t="n"/>
    </row>
    <row r="160">
      <c r="A160" s="6" t="n"/>
      <c r="B160" s="6" t="n"/>
      <c r="C160" s="6" t="n"/>
      <c r="D160" s="6" t="n"/>
      <c r="E160" s="11" t="n"/>
      <c r="F160" s="11" t="n"/>
      <c r="G160" s="6" t="n"/>
      <c r="H160" s="6">
        <f>IF($F160="","",$F160-TODAY())</f>
        <v/>
      </c>
      <c r="I160" s="6">
        <f>IF($F160="","",IF(AND($G160&lt;&gt;"Tamamlandı",$G160&lt;&gt;"İptal",$F160&lt;TODAY()),"GECİKTİ","-"))</f>
        <v/>
      </c>
      <c r="J160" s="6" t="n"/>
      <c r="K160" s="6" t="n"/>
      <c r="L160" s="11" t="n"/>
    </row>
    <row r="161">
      <c r="A161" s="6" t="n"/>
      <c r="B161" s="6" t="n"/>
      <c r="C161" s="6" t="n"/>
      <c r="D161" s="6" t="n"/>
      <c r="E161" s="11" t="n"/>
      <c r="F161" s="11" t="n"/>
      <c r="G161" s="6" t="n"/>
      <c r="H161" s="6">
        <f>IF($F161="","",$F161-TODAY())</f>
        <v/>
      </c>
      <c r="I161" s="6">
        <f>IF($F161="","",IF(AND($G161&lt;&gt;"Tamamlandı",$G161&lt;&gt;"İptal",$F161&lt;TODAY()),"GECİKTİ","-"))</f>
        <v/>
      </c>
      <c r="J161" s="6" t="n"/>
      <c r="K161" s="6" t="n"/>
      <c r="L161" s="11" t="n"/>
    </row>
    <row r="162">
      <c r="A162" s="6" t="n"/>
      <c r="B162" s="6" t="n"/>
      <c r="C162" s="6" t="n"/>
      <c r="D162" s="6" t="n"/>
      <c r="E162" s="11" t="n"/>
      <c r="F162" s="11" t="n"/>
      <c r="G162" s="6" t="n"/>
      <c r="H162" s="6">
        <f>IF($F162="","",$F162-TODAY())</f>
        <v/>
      </c>
      <c r="I162" s="6">
        <f>IF($F162="","",IF(AND($G162&lt;&gt;"Tamamlandı",$G162&lt;&gt;"İptal",$F162&lt;TODAY()),"GECİKTİ","-"))</f>
        <v/>
      </c>
      <c r="J162" s="6" t="n"/>
      <c r="K162" s="6" t="n"/>
      <c r="L162" s="11" t="n"/>
    </row>
    <row r="163">
      <c r="A163" s="6" t="n"/>
      <c r="B163" s="6" t="n"/>
      <c r="C163" s="6" t="n"/>
      <c r="D163" s="6" t="n"/>
      <c r="E163" s="11" t="n"/>
      <c r="F163" s="11" t="n"/>
      <c r="G163" s="6" t="n"/>
      <c r="H163" s="6">
        <f>IF($F163="","",$F163-TODAY())</f>
        <v/>
      </c>
      <c r="I163" s="6">
        <f>IF($F163="","",IF(AND($G163&lt;&gt;"Tamamlandı",$G163&lt;&gt;"İptal",$F163&lt;TODAY()),"GECİKTİ","-"))</f>
        <v/>
      </c>
      <c r="J163" s="6" t="n"/>
      <c r="K163" s="6" t="n"/>
      <c r="L163" s="11" t="n"/>
    </row>
    <row r="164">
      <c r="A164" s="6" t="n"/>
      <c r="B164" s="6" t="n"/>
      <c r="C164" s="6" t="n"/>
      <c r="D164" s="6" t="n"/>
      <c r="E164" s="11" t="n"/>
      <c r="F164" s="11" t="n"/>
      <c r="G164" s="6" t="n"/>
      <c r="H164" s="6">
        <f>IF($F164="","",$F164-TODAY())</f>
        <v/>
      </c>
      <c r="I164" s="6">
        <f>IF($F164="","",IF(AND($G164&lt;&gt;"Tamamlandı",$G164&lt;&gt;"İptal",$F164&lt;TODAY()),"GECİKTİ","-"))</f>
        <v/>
      </c>
      <c r="J164" s="6" t="n"/>
      <c r="K164" s="6" t="n"/>
      <c r="L164" s="11" t="n"/>
    </row>
    <row r="165">
      <c r="A165" s="6" t="n"/>
      <c r="B165" s="6" t="n"/>
      <c r="C165" s="6" t="n"/>
      <c r="D165" s="6" t="n"/>
      <c r="E165" s="11" t="n"/>
      <c r="F165" s="11" t="n"/>
      <c r="G165" s="6" t="n"/>
      <c r="H165" s="6">
        <f>IF($F165="","",$F165-TODAY())</f>
        <v/>
      </c>
      <c r="I165" s="6">
        <f>IF($F165="","",IF(AND($G165&lt;&gt;"Tamamlandı",$G165&lt;&gt;"İptal",$F165&lt;TODAY()),"GECİKTİ","-"))</f>
        <v/>
      </c>
      <c r="J165" s="6" t="n"/>
      <c r="K165" s="6" t="n"/>
      <c r="L165" s="11" t="n"/>
    </row>
    <row r="166">
      <c r="A166" s="6" t="n"/>
      <c r="B166" s="6" t="n"/>
      <c r="C166" s="6" t="n"/>
      <c r="D166" s="6" t="n"/>
      <c r="E166" s="11" t="n"/>
      <c r="F166" s="11" t="n"/>
      <c r="G166" s="6" t="n"/>
      <c r="H166" s="6">
        <f>IF($F166="","",$F166-TODAY())</f>
        <v/>
      </c>
      <c r="I166" s="6">
        <f>IF($F166="","",IF(AND($G166&lt;&gt;"Tamamlandı",$G166&lt;&gt;"İptal",$F166&lt;TODAY()),"GECİKTİ","-"))</f>
        <v/>
      </c>
      <c r="J166" s="6" t="n"/>
      <c r="K166" s="6" t="n"/>
      <c r="L166" s="11" t="n"/>
    </row>
    <row r="167">
      <c r="A167" s="6" t="n"/>
      <c r="B167" s="6" t="n"/>
      <c r="C167" s="6" t="n"/>
      <c r="D167" s="6" t="n"/>
      <c r="E167" s="11" t="n"/>
      <c r="F167" s="11" t="n"/>
      <c r="G167" s="6" t="n"/>
      <c r="H167" s="6">
        <f>IF($F167="","",$F167-TODAY())</f>
        <v/>
      </c>
      <c r="I167" s="6">
        <f>IF($F167="","",IF(AND($G167&lt;&gt;"Tamamlandı",$G167&lt;&gt;"İptal",$F167&lt;TODAY()),"GECİKTİ","-"))</f>
        <v/>
      </c>
      <c r="J167" s="6" t="n"/>
      <c r="K167" s="6" t="n"/>
      <c r="L167" s="11" t="n"/>
    </row>
    <row r="168">
      <c r="A168" s="6" t="n"/>
      <c r="B168" s="6" t="n"/>
      <c r="C168" s="6" t="n"/>
      <c r="D168" s="6" t="n"/>
      <c r="E168" s="11" t="n"/>
      <c r="F168" s="11" t="n"/>
      <c r="G168" s="6" t="n"/>
      <c r="H168" s="6">
        <f>IF($F168="","",$F168-TODAY())</f>
        <v/>
      </c>
      <c r="I168" s="6">
        <f>IF($F168="","",IF(AND($G168&lt;&gt;"Tamamlandı",$G168&lt;&gt;"İptal",$F168&lt;TODAY()),"GECİKTİ","-"))</f>
        <v/>
      </c>
      <c r="J168" s="6" t="n"/>
      <c r="K168" s="6" t="n"/>
      <c r="L168" s="11" t="n"/>
    </row>
    <row r="169">
      <c r="A169" s="6" t="n"/>
      <c r="B169" s="6" t="n"/>
      <c r="C169" s="6" t="n"/>
      <c r="D169" s="6" t="n"/>
      <c r="E169" s="11" t="n"/>
      <c r="F169" s="11" t="n"/>
      <c r="G169" s="6" t="n"/>
      <c r="H169" s="6">
        <f>IF($F169="","",$F169-TODAY())</f>
        <v/>
      </c>
      <c r="I169" s="6">
        <f>IF($F169="","",IF(AND($G169&lt;&gt;"Tamamlandı",$G169&lt;&gt;"İptal",$F169&lt;TODAY()),"GECİKTİ","-"))</f>
        <v/>
      </c>
      <c r="J169" s="6" t="n"/>
      <c r="K169" s="6" t="n"/>
      <c r="L169" s="11" t="n"/>
    </row>
    <row r="170">
      <c r="A170" s="6" t="n"/>
      <c r="B170" s="6" t="n"/>
      <c r="C170" s="6" t="n"/>
      <c r="D170" s="6" t="n"/>
      <c r="E170" s="11" t="n"/>
      <c r="F170" s="11" t="n"/>
      <c r="G170" s="6" t="n"/>
      <c r="H170" s="6">
        <f>IF($F170="","",$F170-TODAY())</f>
        <v/>
      </c>
      <c r="I170" s="6">
        <f>IF($F170="","",IF(AND($G170&lt;&gt;"Tamamlandı",$G170&lt;&gt;"İptal",$F170&lt;TODAY()),"GECİKTİ","-"))</f>
        <v/>
      </c>
      <c r="J170" s="6" t="n"/>
      <c r="K170" s="6" t="n"/>
      <c r="L170" s="11" t="n"/>
    </row>
    <row r="171">
      <c r="A171" s="6" t="n"/>
      <c r="B171" s="6" t="n"/>
      <c r="C171" s="6" t="n"/>
      <c r="D171" s="6" t="n"/>
      <c r="E171" s="11" t="n"/>
      <c r="F171" s="11" t="n"/>
      <c r="G171" s="6" t="n"/>
      <c r="H171" s="6">
        <f>IF($F171="","",$F171-TODAY())</f>
        <v/>
      </c>
      <c r="I171" s="6">
        <f>IF($F171="","",IF(AND($G171&lt;&gt;"Tamamlandı",$G171&lt;&gt;"İptal",$F171&lt;TODAY()),"GECİKTİ","-"))</f>
        <v/>
      </c>
      <c r="J171" s="6" t="n"/>
      <c r="K171" s="6" t="n"/>
      <c r="L171" s="11" t="n"/>
    </row>
    <row r="172">
      <c r="A172" s="6" t="n"/>
      <c r="B172" s="6" t="n"/>
      <c r="C172" s="6" t="n"/>
      <c r="D172" s="6" t="n"/>
      <c r="E172" s="11" t="n"/>
      <c r="F172" s="11" t="n"/>
      <c r="G172" s="6" t="n"/>
      <c r="H172" s="6">
        <f>IF($F172="","",$F172-TODAY())</f>
        <v/>
      </c>
      <c r="I172" s="6">
        <f>IF($F172="","",IF(AND($G172&lt;&gt;"Tamamlandı",$G172&lt;&gt;"İptal",$F172&lt;TODAY()),"GECİKTİ","-"))</f>
        <v/>
      </c>
      <c r="J172" s="6" t="n"/>
      <c r="K172" s="6" t="n"/>
      <c r="L172" s="11" t="n"/>
    </row>
    <row r="173">
      <c r="A173" s="6" t="n"/>
      <c r="B173" s="6" t="n"/>
      <c r="C173" s="6" t="n"/>
      <c r="D173" s="6" t="n"/>
      <c r="E173" s="11" t="n"/>
      <c r="F173" s="11" t="n"/>
      <c r="G173" s="6" t="n"/>
      <c r="H173" s="6">
        <f>IF($F173="","",$F173-TODAY())</f>
        <v/>
      </c>
      <c r="I173" s="6">
        <f>IF($F173="","",IF(AND($G173&lt;&gt;"Tamamlandı",$G173&lt;&gt;"İptal",$F173&lt;TODAY()),"GECİKTİ","-"))</f>
        <v/>
      </c>
      <c r="J173" s="6" t="n"/>
      <c r="K173" s="6" t="n"/>
      <c r="L173" s="11" t="n"/>
    </row>
    <row r="174">
      <c r="A174" s="6" t="n"/>
      <c r="B174" s="6" t="n"/>
      <c r="C174" s="6" t="n"/>
      <c r="D174" s="6" t="n"/>
      <c r="E174" s="11" t="n"/>
      <c r="F174" s="11" t="n"/>
      <c r="G174" s="6" t="n"/>
      <c r="H174" s="6">
        <f>IF($F174="","",$F174-TODAY())</f>
        <v/>
      </c>
      <c r="I174" s="6">
        <f>IF($F174="","",IF(AND($G174&lt;&gt;"Tamamlandı",$G174&lt;&gt;"İptal",$F174&lt;TODAY()),"GECİKTİ","-"))</f>
        <v/>
      </c>
      <c r="J174" s="6" t="n"/>
      <c r="K174" s="6" t="n"/>
      <c r="L174" s="11" t="n"/>
    </row>
    <row r="175">
      <c r="A175" s="6" t="n"/>
      <c r="B175" s="6" t="n"/>
      <c r="C175" s="6" t="n"/>
      <c r="D175" s="6" t="n"/>
      <c r="E175" s="11" t="n"/>
      <c r="F175" s="11" t="n"/>
      <c r="G175" s="6" t="n"/>
      <c r="H175" s="6">
        <f>IF($F175="","",$F175-TODAY())</f>
        <v/>
      </c>
      <c r="I175" s="6">
        <f>IF($F175="","",IF(AND($G175&lt;&gt;"Tamamlandı",$G175&lt;&gt;"İptal",$F175&lt;TODAY()),"GECİKTİ","-"))</f>
        <v/>
      </c>
      <c r="J175" s="6" t="n"/>
      <c r="K175" s="6" t="n"/>
      <c r="L175" s="11" t="n"/>
    </row>
    <row r="176">
      <c r="A176" s="6" t="n"/>
      <c r="B176" s="6" t="n"/>
      <c r="C176" s="6" t="n"/>
      <c r="D176" s="6" t="n"/>
      <c r="E176" s="11" t="n"/>
      <c r="F176" s="11" t="n"/>
      <c r="G176" s="6" t="n"/>
      <c r="H176" s="6">
        <f>IF($F176="","",$F176-TODAY())</f>
        <v/>
      </c>
      <c r="I176" s="6">
        <f>IF($F176="","",IF(AND($G176&lt;&gt;"Tamamlandı",$G176&lt;&gt;"İptal",$F176&lt;TODAY()),"GECİKTİ","-"))</f>
        <v/>
      </c>
      <c r="J176" s="6" t="n"/>
      <c r="K176" s="6" t="n"/>
      <c r="L176" s="11" t="n"/>
    </row>
    <row r="177">
      <c r="A177" s="6" t="n"/>
      <c r="B177" s="6" t="n"/>
      <c r="C177" s="6" t="n"/>
      <c r="D177" s="6" t="n"/>
      <c r="E177" s="11" t="n"/>
      <c r="F177" s="11" t="n"/>
      <c r="G177" s="6" t="n"/>
      <c r="H177" s="6">
        <f>IF($F177="","",$F177-TODAY())</f>
        <v/>
      </c>
      <c r="I177" s="6">
        <f>IF($F177="","",IF(AND($G177&lt;&gt;"Tamamlandı",$G177&lt;&gt;"İptal",$F177&lt;TODAY()),"GECİKTİ","-"))</f>
        <v/>
      </c>
      <c r="J177" s="6" t="n"/>
      <c r="K177" s="6" t="n"/>
      <c r="L177" s="11" t="n"/>
    </row>
    <row r="178">
      <c r="A178" s="6" t="n"/>
      <c r="B178" s="6" t="n"/>
      <c r="C178" s="6" t="n"/>
      <c r="D178" s="6" t="n"/>
      <c r="E178" s="11" t="n"/>
      <c r="F178" s="11" t="n"/>
      <c r="G178" s="6" t="n"/>
      <c r="H178" s="6">
        <f>IF($F178="","",$F178-TODAY())</f>
        <v/>
      </c>
      <c r="I178" s="6">
        <f>IF($F178="","",IF(AND($G178&lt;&gt;"Tamamlandı",$G178&lt;&gt;"İptal",$F178&lt;TODAY()),"GECİKTİ","-"))</f>
        <v/>
      </c>
      <c r="J178" s="6" t="n"/>
      <c r="K178" s="6" t="n"/>
      <c r="L178" s="11" t="n"/>
    </row>
    <row r="179">
      <c r="A179" s="6" t="n"/>
      <c r="B179" s="6" t="n"/>
      <c r="C179" s="6" t="n"/>
      <c r="D179" s="6" t="n"/>
      <c r="E179" s="11" t="n"/>
      <c r="F179" s="11" t="n"/>
      <c r="G179" s="6" t="n"/>
      <c r="H179" s="6">
        <f>IF($F179="","",$F179-TODAY())</f>
        <v/>
      </c>
      <c r="I179" s="6">
        <f>IF($F179="","",IF(AND($G179&lt;&gt;"Tamamlandı",$G179&lt;&gt;"İptal",$F179&lt;TODAY()),"GECİKTİ","-"))</f>
        <v/>
      </c>
      <c r="J179" s="6" t="n"/>
      <c r="K179" s="6" t="n"/>
      <c r="L179" s="11" t="n"/>
    </row>
    <row r="180">
      <c r="A180" s="6" t="n"/>
      <c r="B180" s="6" t="n"/>
      <c r="C180" s="6" t="n"/>
      <c r="D180" s="6" t="n"/>
      <c r="E180" s="11" t="n"/>
      <c r="F180" s="11" t="n"/>
      <c r="G180" s="6" t="n"/>
      <c r="H180" s="6">
        <f>IF($F180="","",$F180-TODAY())</f>
        <v/>
      </c>
      <c r="I180" s="6">
        <f>IF($F180="","",IF(AND($G180&lt;&gt;"Tamamlandı",$G180&lt;&gt;"İptal",$F180&lt;TODAY()),"GECİKTİ","-"))</f>
        <v/>
      </c>
      <c r="J180" s="6" t="n"/>
      <c r="K180" s="6" t="n"/>
      <c r="L180" s="11" t="n"/>
    </row>
    <row r="181">
      <c r="A181" s="6" t="n"/>
      <c r="B181" s="6" t="n"/>
      <c r="C181" s="6" t="n"/>
      <c r="D181" s="6" t="n"/>
      <c r="E181" s="11" t="n"/>
      <c r="F181" s="11" t="n"/>
      <c r="G181" s="6" t="n"/>
      <c r="H181" s="6">
        <f>IF($F181="","",$F181-TODAY())</f>
        <v/>
      </c>
      <c r="I181" s="6">
        <f>IF($F181="","",IF(AND($G181&lt;&gt;"Tamamlandı",$G181&lt;&gt;"İptal",$F181&lt;TODAY()),"GECİKTİ","-"))</f>
        <v/>
      </c>
      <c r="J181" s="6" t="n"/>
      <c r="K181" s="6" t="n"/>
      <c r="L181" s="11" t="n"/>
    </row>
    <row r="182">
      <c r="A182" s="6" t="n"/>
      <c r="B182" s="6" t="n"/>
      <c r="C182" s="6" t="n"/>
      <c r="D182" s="6" t="n"/>
      <c r="E182" s="11" t="n"/>
      <c r="F182" s="11" t="n"/>
      <c r="G182" s="6" t="n"/>
      <c r="H182" s="6">
        <f>IF($F182="","",$F182-TODAY())</f>
        <v/>
      </c>
      <c r="I182" s="6">
        <f>IF($F182="","",IF(AND($G182&lt;&gt;"Tamamlandı",$G182&lt;&gt;"İptal",$F182&lt;TODAY()),"GECİKTİ","-"))</f>
        <v/>
      </c>
      <c r="J182" s="6" t="n"/>
      <c r="K182" s="6" t="n"/>
      <c r="L182" s="11" t="n"/>
    </row>
    <row r="183">
      <c r="A183" s="6" t="n"/>
      <c r="B183" s="6" t="n"/>
      <c r="C183" s="6" t="n"/>
      <c r="D183" s="6" t="n"/>
      <c r="E183" s="11" t="n"/>
      <c r="F183" s="11" t="n"/>
      <c r="G183" s="6" t="n"/>
      <c r="H183" s="6">
        <f>IF($F183="","",$F183-TODAY())</f>
        <v/>
      </c>
      <c r="I183" s="6">
        <f>IF($F183="","",IF(AND($G183&lt;&gt;"Tamamlandı",$G183&lt;&gt;"İptal",$F183&lt;TODAY()),"GECİKTİ","-"))</f>
        <v/>
      </c>
      <c r="J183" s="6" t="n"/>
      <c r="K183" s="6" t="n"/>
      <c r="L183" s="11" t="n"/>
    </row>
    <row r="184">
      <c r="A184" s="6" t="n"/>
      <c r="B184" s="6" t="n"/>
      <c r="C184" s="6" t="n"/>
      <c r="D184" s="6" t="n"/>
      <c r="E184" s="11" t="n"/>
      <c r="F184" s="11" t="n"/>
      <c r="G184" s="6" t="n"/>
      <c r="H184" s="6">
        <f>IF($F184="","",$F184-TODAY())</f>
        <v/>
      </c>
      <c r="I184" s="6">
        <f>IF($F184="","",IF(AND($G184&lt;&gt;"Tamamlandı",$G184&lt;&gt;"İptal",$F184&lt;TODAY()),"GECİKTİ","-"))</f>
        <v/>
      </c>
      <c r="J184" s="6" t="n"/>
      <c r="K184" s="6" t="n"/>
      <c r="L184" s="11" t="n"/>
    </row>
    <row r="185">
      <c r="A185" s="6" t="n"/>
      <c r="B185" s="6" t="n"/>
      <c r="C185" s="6" t="n"/>
      <c r="D185" s="6" t="n"/>
      <c r="E185" s="11" t="n"/>
      <c r="F185" s="11" t="n"/>
      <c r="G185" s="6" t="n"/>
      <c r="H185" s="6">
        <f>IF($F185="","",$F185-TODAY())</f>
        <v/>
      </c>
      <c r="I185" s="6">
        <f>IF($F185="","",IF(AND($G185&lt;&gt;"Tamamlandı",$G185&lt;&gt;"İptal",$F185&lt;TODAY()),"GECİKTİ","-"))</f>
        <v/>
      </c>
      <c r="J185" s="6" t="n"/>
      <c r="K185" s="6" t="n"/>
      <c r="L185" s="11" t="n"/>
    </row>
    <row r="186">
      <c r="A186" s="6" t="n"/>
      <c r="B186" s="6" t="n"/>
      <c r="C186" s="6" t="n"/>
      <c r="D186" s="6" t="n"/>
      <c r="E186" s="11" t="n"/>
      <c r="F186" s="11" t="n"/>
      <c r="G186" s="6" t="n"/>
      <c r="H186" s="6">
        <f>IF($F186="","",$F186-TODAY())</f>
        <v/>
      </c>
      <c r="I186" s="6">
        <f>IF($F186="","",IF(AND($G186&lt;&gt;"Tamamlandı",$G186&lt;&gt;"İptal",$F186&lt;TODAY()),"GECİKTİ","-"))</f>
        <v/>
      </c>
      <c r="J186" s="6" t="n"/>
      <c r="K186" s="6" t="n"/>
      <c r="L186" s="11" t="n"/>
    </row>
    <row r="187">
      <c r="A187" s="6" t="n"/>
      <c r="B187" s="6" t="n"/>
      <c r="C187" s="6" t="n"/>
      <c r="D187" s="6" t="n"/>
      <c r="E187" s="11" t="n"/>
      <c r="F187" s="11" t="n"/>
      <c r="G187" s="6" t="n"/>
      <c r="H187" s="6">
        <f>IF($F187="","",$F187-TODAY())</f>
        <v/>
      </c>
      <c r="I187" s="6">
        <f>IF($F187="","",IF(AND($G187&lt;&gt;"Tamamlandı",$G187&lt;&gt;"İptal",$F187&lt;TODAY()),"GECİKTİ","-"))</f>
        <v/>
      </c>
      <c r="J187" s="6" t="n"/>
      <c r="K187" s="6" t="n"/>
      <c r="L187" s="11" t="n"/>
    </row>
    <row r="188">
      <c r="A188" s="6" t="n"/>
      <c r="B188" s="6" t="n"/>
      <c r="C188" s="6" t="n"/>
      <c r="D188" s="6" t="n"/>
      <c r="E188" s="11" t="n"/>
      <c r="F188" s="11" t="n"/>
      <c r="G188" s="6" t="n"/>
      <c r="H188" s="6">
        <f>IF($F188="","",$F188-TODAY())</f>
        <v/>
      </c>
      <c r="I188" s="6">
        <f>IF($F188="","",IF(AND($G188&lt;&gt;"Tamamlandı",$G188&lt;&gt;"İptal",$F188&lt;TODAY()),"GECİKTİ","-"))</f>
        <v/>
      </c>
      <c r="J188" s="6" t="n"/>
      <c r="K188" s="6" t="n"/>
      <c r="L188" s="11" t="n"/>
    </row>
    <row r="189">
      <c r="A189" s="6" t="n"/>
      <c r="B189" s="6" t="n"/>
      <c r="C189" s="6" t="n"/>
      <c r="D189" s="6" t="n"/>
      <c r="E189" s="11" t="n"/>
      <c r="F189" s="11" t="n"/>
      <c r="G189" s="6" t="n"/>
      <c r="H189" s="6">
        <f>IF($F189="","",$F189-TODAY())</f>
        <v/>
      </c>
      <c r="I189" s="6">
        <f>IF($F189="","",IF(AND($G189&lt;&gt;"Tamamlandı",$G189&lt;&gt;"İptal",$F189&lt;TODAY()),"GECİKTİ","-"))</f>
        <v/>
      </c>
      <c r="J189" s="6" t="n"/>
      <c r="K189" s="6" t="n"/>
      <c r="L189" s="11" t="n"/>
    </row>
    <row r="190">
      <c r="A190" s="6" t="n"/>
      <c r="B190" s="6" t="n"/>
      <c r="C190" s="6" t="n"/>
      <c r="D190" s="6" t="n"/>
      <c r="E190" s="11" t="n"/>
      <c r="F190" s="11" t="n"/>
      <c r="G190" s="6" t="n"/>
      <c r="H190" s="6">
        <f>IF($F190="","",$F190-TODAY())</f>
        <v/>
      </c>
      <c r="I190" s="6">
        <f>IF($F190="","",IF(AND($G190&lt;&gt;"Tamamlandı",$G190&lt;&gt;"İptal",$F190&lt;TODAY()),"GECİKTİ","-"))</f>
        <v/>
      </c>
      <c r="J190" s="6" t="n"/>
      <c r="K190" s="6" t="n"/>
      <c r="L190" s="11" t="n"/>
    </row>
    <row r="191">
      <c r="A191" s="6" t="n"/>
      <c r="B191" s="6" t="n"/>
      <c r="C191" s="6" t="n"/>
      <c r="D191" s="6" t="n"/>
      <c r="E191" s="11" t="n"/>
      <c r="F191" s="11" t="n"/>
      <c r="G191" s="6" t="n"/>
      <c r="H191" s="6">
        <f>IF($F191="","",$F191-TODAY())</f>
        <v/>
      </c>
      <c r="I191" s="6">
        <f>IF($F191="","",IF(AND($G191&lt;&gt;"Tamamlandı",$G191&lt;&gt;"İptal",$F191&lt;TODAY()),"GECİKTİ","-"))</f>
        <v/>
      </c>
      <c r="J191" s="6" t="n"/>
      <c r="K191" s="6" t="n"/>
      <c r="L191" s="11" t="n"/>
    </row>
    <row r="192">
      <c r="A192" s="6" t="n"/>
      <c r="B192" s="6" t="n"/>
      <c r="C192" s="6" t="n"/>
      <c r="D192" s="6" t="n"/>
      <c r="E192" s="11" t="n"/>
      <c r="F192" s="11" t="n"/>
      <c r="G192" s="6" t="n"/>
      <c r="H192" s="6">
        <f>IF($F192="","",$F192-TODAY())</f>
        <v/>
      </c>
      <c r="I192" s="6">
        <f>IF($F192="","",IF(AND($G192&lt;&gt;"Tamamlandı",$G192&lt;&gt;"İptal",$F192&lt;TODAY()),"GECİKTİ","-"))</f>
        <v/>
      </c>
      <c r="J192" s="6" t="n"/>
      <c r="K192" s="6" t="n"/>
      <c r="L192" s="11" t="n"/>
    </row>
    <row r="193">
      <c r="A193" s="6" t="n"/>
      <c r="B193" s="6" t="n"/>
      <c r="C193" s="6" t="n"/>
      <c r="D193" s="6" t="n"/>
      <c r="E193" s="11" t="n"/>
      <c r="F193" s="11" t="n"/>
      <c r="G193" s="6" t="n"/>
      <c r="H193" s="6">
        <f>IF($F193="","",$F193-TODAY())</f>
        <v/>
      </c>
      <c r="I193" s="6">
        <f>IF($F193="","",IF(AND($G193&lt;&gt;"Tamamlandı",$G193&lt;&gt;"İptal",$F193&lt;TODAY()),"GECİKTİ","-"))</f>
        <v/>
      </c>
      <c r="J193" s="6" t="n"/>
      <c r="K193" s="6" t="n"/>
      <c r="L193" s="11" t="n"/>
    </row>
    <row r="194">
      <c r="A194" s="6" t="n"/>
      <c r="B194" s="6" t="n"/>
      <c r="C194" s="6" t="n"/>
      <c r="D194" s="6" t="n"/>
      <c r="E194" s="11" t="n"/>
      <c r="F194" s="11" t="n"/>
      <c r="G194" s="6" t="n"/>
      <c r="H194" s="6">
        <f>IF($F194="","",$F194-TODAY())</f>
        <v/>
      </c>
      <c r="I194" s="6">
        <f>IF($F194="","",IF(AND($G194&lt;&gt;"Tamamlandı",$G194&lt;&gt;"İptal",$F194&lt;TODAY()),"GECİKTİ","-"))</f>
        <v/>
      </c>
      <c r="J194" s="6" t="n"/>
      <c r="K194" s="6" t="n"/>
      <c r="L194" s="11" t="n"/>
    </row>
    <row r="195">
      <c r="A195" s="6" t="n"/>
      <c r="B195" s="6" t="n"/>
      <c r="C195" s="6" t="n"/>
      <c r="D195" s="6" t="n"/>
      <c r="E195" s="11" t="n"/>
      <c r="F195" s="11" t="n"/>
      <c r="G195" s="6" t="n"/>
      <c r="H195" s="6">
        <f>IF($F195="","",$F195-TODAY())</f>
        <v/>
      </c>
      <c r="I195" s="6">
        <f>IF($F195="","",IF(AND($G195&lt;&gt;"Tamamlandı",$G195&lt;&gt;"İptal",$F195&lt;TODAY()),"GECİKTİ","-"))</f>
        <v/>
      </c>
      <c r="J195" s="6" t="n"/>
      <c r="K195" s="6" t="n"/>
      <c r="L195" s="11" t="n"/>
    </row>
    <row r="196">
      <c r="A196" s="6" t="n"/>
      <c r="B196" s="6" t="n"/>
      <c r="C196" s="6" t="n"/>
      <c r="D196" s="6" t="n"/>
      <c r="E196" s="11" t="n"/>
      <c r="F196" s="11" t="n"/>
      <c r="G196" s="6" t="n"/>
      <c r="H196" s="6">
        <f>IF($F196="","",$F196-TODAY())</f>
        <v/>
      </c>
      <c r="I196" s="6">
        <f>IF($F196="","",IF(AND($G196&lt;&gt;"Tamamlandı",$G196&lt;&gt;"İptal",$F196&lt;TODAY()),"GECİKTİ","-"))</f>
        <v/>
      </c>
      <c r="J196" s="6" t="n"/>
      <c r="K196" s="6" t="n"/>
      <c r="L196" s="11" t="n"/>
    </row>
    <row r="197">
      <c r="A197" s="6" t="n"/>
      <c r="B197" s="6" t="n"/>
      <c r="C197" s="6" t="n"/>
      <c r="D197" s="6" t="n"/>
      <c r="E197" s="11" t="n"/>
      <c r="F197" s="11" t="n"/>
      <c r="G197" s="6" t="n"/>
      <c r="H197" s="6">
        <f>IF($F197="","",$F197-TODAY())</f>
        <v/>
      </c>
      <c r="I197" s="6">
        <f>IF($F197="","",IF(AND($G197&lt;&gt;"Tamamlandı",$G197&lt;&gt;"İptal",$F197&lt;TODAY()),"GECİKTİ","-"))</f>
        <v/>
      </c>
      <c r="J197" s="6" t="n"/>
      <c r="K197" s="6" t="n"/>
      <c r="L197" s="11" t="n"/>
    </row>
    <row r="198">
      <c r="A198" s="6" t="n"/>
      <c r="B198" s="6" t="n"/>
      <c r="C198" s="6" t="n"/>
      <c r="D198" s="6" t="n"/>
      <c r="E198" s="11" t="n"/>
      <c r="F198" s="11" t="n"/>
      <c r="G198" s="6" t="n"/>
      <c r="H198" s="6">
        <f>IF($F198="","",$F198-TODAY())</f>
        <v/>
      </c>
      <c r="I198" s="6">
        <f>IF($F198="","",IF(AND($G198&lt;&gt;"Tamamlandı",$G198&lt;&gt;"İptal",$F198&lt;TODAY()),"GECİKTİ","-"))</f>
        <v/>
      </c>
      <c r="J198" s="6" t="n"/>
      <c r="K198" s="6" t="n"/>
      <c r="L198" s="11" t="n"/>
    </row>
    <row r="199">
      <c r="A199" s="6" t="n"/>
      <c r="B199" s="6" t="n"/>
      <c r="C199" s="6" t="n"/>
      <c r="D199" s="6" t="n"/>
      <c r="E199" s="11" t="n"/>
      <c r="F199" s="11" t="n"/>
      <c r="G199" s="6" t="n"/>
      <c r="H199" s="6">
        <f>IF($F199="","",$F199-TODAY())</f>
        <v/>
      </c>
      <c r="I199" s="6">
        <f>IF($F199="","",IF(AND($G199&lt;&gt;"Tamamlandı",$G199&lt;&gt;"İptal",$F199&lt;TODAY()),"GECİKTİ","-"))</f>
        <v/>
      </c>
      <c r="J199" s="6" t="n"/>
      <c r="K199" s="6" t="n"/>
      <c r="L199" s="11" t="n"/>
    </row>
    <row r="200">
      <c r="A200" s="6" t="n"/>
      <c r="B200" s="6" t="n"/>
      <c r="C200" s="6" t="n"/>
      <c r="D200" s="6" t="n"/>
      <c r="E200" s="11" t="n"/>
      <c r="F200" s="11" t="n"/>
      <c r="G200" s="6" t="n"/>
      <c r="H200" s="6">
        <f>IF($F200="","",$F200-TODAY())</f>
        <v/>
      </c>
      <c r="I200" s="6">
        <f>IF($F200="","",IF(AND($G200&lt;&gt;"Tamamlandı",$G200&lt;&gt;"İptal",$F200&lt;TODAY()),"GECİKTİ","-"))</f>
        <v/>
      </c>
      <c r="J200" s="6" t="n"/>
      <c r="K200" s="6" t="n"/>
      <c r="L200" s="11" t="n"/>
    </row>
  </sheetData>
  <conditionalFormatting sqref="A2:L200">
    <cfRule type="expression" priority="1" dxfId="0">
      <formula>$I2="GECİKTİ"</formula>
    </cfRule>
    <cfRule type="expression" priority="2" dxfId="1">
      <formula>$G2="Tamamlandı"</formula>
    </cfRule>
    <cfRule type="expression" priority="3" dxfId="2">
      <formula>$G2="Onay Bekliyor"</formula>
    </cfRule>
  </conditionalFormatting>
  <dataValidations count="1">
    <dataValidation sqref="G2:G200" showDropDown="0" showInputMessage="0" showErrorMessage="0" allowBlank="1" type="list">
      <formula1>=Listeler!$A$2:$A$8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3" customWidth="1" min="4" max="4"/>
    <col width="16" customWidth="1" min="5" max="5"/>
    <col width="13" customWidth="1" min="6" max="6"/>
    <col width="20" customWidth="1" min="7" max="7"/>
    <col width="14" customWidth="1" min="8" max="8"/>
    <col width="14" customWidth="1" min="9" max="9"/>
    <col width="32" customWidth="1" min="10" max="10"/>
  </cols>
  <sheetData>
    <row r="1">
      <c r="A1" s="8" t="inlineStr">
        <is>
          <t>Proje Kodu</t>
        </is>
      </c>
      <c r="B1" s="8" t="inlineStr">
        <is>
          <t>Durum</t>
        </is>
      </c>
      <c r="C1" s="8" t="inlineStr">
        <is>
          <t>Revizyon Sayısı</t>
        </is>
      </c>
      <c r="D1" s="8" t="inlineStr">
        <is>
          <t>Son Gönderim</t>
        </is>
      </c>
      <c r="E1" s="8" t="inlineStr">
        <is>
          <t>Son Karar Veren</t>
        </is>
      </c>
      <c r="F1" s="8" t="inlineStr">
        <is>
          <t>Son Karar Tarihi</t>
        </is>
      </c>
      <c r="G1" s="8" t="inlineStr">
        <is>
          <t>Satın Alma Sorumlusu</t>
        </is>
      </c>
      <c r="H1" s="8" t="inlineStr">
        <is>
          <t>P&amp;ID Yüklendi?</t>
        </is>
      </c>
      <c r="I1" s="8" t="inlineStr">
        <is>
          <t>Çizim Yüklendi?</t>
        </is>
      </c>
      <c r="J1" s="8" t="inlineStr">
        <is>
          <t>Not</t>
        </is>
      </c>
    </row>
    <row r="2">
      <c r="A2" s="6" t="inlineStr">
        <is>
          <t>ARS-2026-001-D</t>
        </is>
      </c>
      <c r="B2" s="6" t="inlineStr">
        <is>
          <t>Onaylandı</t>
        </is>
      </c>
      <c r="C2" s="6" t="n">
        <v>1</v>
      </c>
      <c r="D2" s="11" t="n"/>
      <c r="E2" s="6" t="n"/>
      <c r="F2" s="11" t="n"/>
      <c r="G2" s="6" t="n"/>
      <c r="H2" s="6" t="inlineStr">
        <is>
          <t>Evet</t>
        </is>
      </c>
      <c r="I2" s="6" t="inlineStr">
        <is>
          <t>Evet</t>
        </is>
      </c>
      <c r="J2" s="6" t="n"/>
    </row>
    <row r="3">
      <c r="A3" s="6" t="n"/>
      <c r="B3" s="6" t="n"/>
      <c r="C3" s="6" t="n"/>
      <c r="D3" s="11" t="n"/>
      <c r="E3" s="6" t="n"/>
      <c r="F3" s="11" t="n"/>
      <c r="G3" s="6" t="n"/>
      <c r="H3" s="6" t="n"/>
      <c r="I3" s="6" t="n"/>
      <c r="J3" s="6" t="n"/>
    </row>
    <row r="4">
      <c r="A4" s="6" t="n"/>
      <c r="B4" s="6" t="n"/>
      <c r="C4" s="6" t="n"/>
      <c r="D4" s="11" t="n"/>
      <c r="E4" s="6" t="n"/>
      <c r="F4" s="11" t="n"/>
      <c r="G4" s="6" t="n"/>
      <c r="H4" s="6" t="n"/>
      <c r="I4" s="6" t="n"/>
      <c r="J4" s="6" t="n"/>
    </row>
    <row r="5">
      <c r="A5" s="6" t="n"/>
      <c r="B5" s="6" t="n"/>
      <c r="C5" s="6" t="n"/>
      <c r="D5" s="11" t="n"/>
      <c r="E5" s="6" t="n"/>
      <c r="F5" s="11" t="n"/>
      <c r="G5" s="6" t="n"/>
      <c r="H5" s="6" t="n"/>
      <c r="I5" s="6" t="n"/>
      <c r="J5" s="6" t="n"/>
    </row>
    <row r="6">
      <c r="A6" s="6" t="n"/>
      <c r="B6" s="6" t="n"/>
      <c r="C6" s="6" t="n"/>
      <c r="D6" s="11" t="n"/>
      <c r="E6" s="6" t="n"/>
      <c r="F6" s="11" t="n"/>
      <c r="G6" s="6" t="n"/>
      <c r="H6" s="6" t="n"/>
      <c r="I6" s="6" t="n"/>
      <c r="J6" s="6" t="n"/>
    </row>
    <row r="7">
      <c r="A7" s="6" t="n"/>
      <c r="B7" s="6" t="n"/>
      <c r="C7" s="6" t="n"/>
      <c r="D7" s="11" t="n"/>
      <c r="E7" s="6" t="n"/>
      <c r="F7" s="11" t="n"/>
      <c r="G7" s="6" t="n"/>
      <c r="H7" s="6" t="n"/>
      <c r="I7" s="6" t="n"/>
      <c r="J7" s="6" t="n"/>
    </row>
    <row r="8">
      <c r="A8" s="6" t="n"/>
      <c r="B8" s="6" t="n"/>
      <c r="C8" s="6" t="n"/>
      <c r="D8" s="11" t="n"/>
      <c r="E8" s="6" t="n"/>
      <c r="F8" s="11" t="n"/>
      <c r="G8" s="6" t="n"/>
      <c r="H8" s="6" t="n"/>
      <c r="I8" s="6" t="n"/>
      <c r="J8" s="6" t="n"/>
    </row>
    <row r="9">
      <c r="A9" s="6" t="n"/>
      <c r="B9" s="6" t="n"/>
      <c r="C9" s="6" t="n"/>
      <c r="D9" s="11" t="n"/>
      <c r="E9" s="6" t="n"/>
      <c r="F9" s="11" t="n"/>
      <c r="G9" s="6" t="n"/>
      <c r="H9" s="6" t="n"/>
      <c r="I9" s="6" t="n"/>
      <c r="J9" s="6" t="n"/>
    </row>
    <row r="10">
      <c r="A10" s="6" t="n"/>
      <c r="B10" s="6" t="n"/>
      <c r="C10" s="6" t="n"/>
      <c r="D10" s="11" t="n"/>
      <c r="E10" s="6" t="n"/>
      <c r="F10" s="11" t="n"/>
      <c r="G10" s="6" t="n"/>
      <c r="H10" s="6" t="n"/>
      <c r="I10" s="6" t="n"/>
      <c r="J10" s="6" t="n"/>
    </row>
    <row r="11">
      <c r="A11" s="6" t="n"/>
      <c r="B11" s="6" t="n"/>
      <c r="C11" s="6" t="n"/>
      <c r="D11" s="11" t="n"/>
      <c r="E11" s="6" t="n"/>
      <c r="F11" s="11" t="n"/>
      <c r="G11" s="6" t="n"/>
      <c r="H11" s="6" t="n"/>
      <c r="I11" s="6" t="n"/>
      <c r="J11" s="6" t="n"/>
    </row>
    <row r="12">
      <c r="A12" s="6" t="n"/>
      <c r="B12" s="6" t="n"/>
      <c r="C12" s="6" t="n"/>
      <c r="D12" s="11" t="n"/>
      <c r="E12" s="6" t="n"/>
      <c r="F12" s="11" t="n"/>
      <c r="G12" s="6" t="n"/>
      <c r="H12" s="6" t="n"/>
      <c r="I12" s="6" t="n"/>
      <c r="J12" s="6" t="n"/>
    </row>
    <row r="13">
      <c r="A13" s="6" t="n"/>
      <c r="B13" s="6" t="n"/>
      <c r="C13" s="6" t="n"/>
      <c r="D13" s="11" t="n"/>
      <c r="E13" s="6" t="n"/>
      <c r="F13" s="11" t="n"/>
      <c r="G13" s="6" t="n"/>
      <c r="H13" s="6" t="n"/>
      <c r="I13" s="6" t="n"/>
      <c r="J13" s="6" t="n"/>
    </row>
    <row r="14">
      <c r="A14" s="6" t="n"/>
      <c r="B14" s="6" t="n"/>
      <c r="C14" s="6" t="n"/>
      <c r="D14" s="11" t="n"/>
      <c r="E14" s="6" t="n"/>
      <c r="F14" s="11" t="n"/>
      <c r="G14" s="6" t="n"/>
      <c r="H14" s="6" t="n"/>
      <c r="I14" s="6" t="n"/>
      <c r="J14" s="6" t="n"/>
    </row>
    <row r="15">
      <c r="A15" s="6" t="n"/>
      <c r="B15" s="6" t="n"/>
      <c r="C15" s="6" t="n"/>
      <c r="D15" s="11" t="n"/>
      <c r="E15" s="6" t="n"/>
      <c r="F15" s="11" t="n"/>
      <c r="G15" s="6" t="n"/>
      <c r="H15" s="6" t="n"/>
      <c r="I15" s="6" t="n"/>
      <c r="J15" s="6" t="n"/>
    </row>
    <row r="16">
      <c r="A16" s="6" t="n"/>
      <c r="B16" s="6" t="n"/>
      <c r="C16" s="6" t="n"/>
      <c r="D16" s="11" t="n"/>
      <c r="E16" s="6" t="n"/>
      <c r="F16" s="11" t="n"/>
      <c r="G16" s="6" t="n"/>
      <c r="H16" s="6" t="n"/>
      <c r="I16" s="6" t="n"/>
      <c r="J16" s="6" t="n"/>
    </row>
    <row r="17">
      <c r="A17" s="6" t="n"/>
      <c r="B17" s="6" t="n"/>
      <c r="C17" s="6" t="n"/>
      <c r="D17" s="11" t="n"/>
      <c r="E17" s="6" t="n"/>
      <c r="F17" s="11" t="n"/>
      <c r="G17" s="6" t="n"/>
      <c r="H17" s="6" t="n"/>
      <c r="I17" s="6" t="n"/>
      <c r="J17" s="6" t="n"/>
    </row>
    <row r="18">
      <c r="A18" s="6" t="n"/>
      <c r="B18" s="6" t="n"/>
      <c r="C18" s="6" t="n"/>
      <c r="D18" s="11" t="n"/>
      <c r="E18" s="6" t="n"/>
      <c r="F18" s="11" t="n"/>
      <c r="G18" s="6" t="n"/>
      <c r="H18" s="6" t="n"/>
      <c r="I18" s="6" t="n"/>
      <c r="J18" s="6" t="n"/>
    </row>
    <row r="19">
      <c r="A19" s="6" t="n"/>
      <c r="B19" s="6" t="n"/>
      <c r="C19" s="6" t="n"/>
      <c r="D19" s="11" t="n"/>
      <c r="E19" s="6" t="n"/>
      <c r="F19" s="11" t="n"/>
      <c r="G19" s="6" t="n"/>
      <c r="H19" s="6" t="n"/>
      <c r="I19" s="6" t="n"/>
      <c r="J19" s="6" t="n"/>
    </row>
    <row r="20">
      <c r="A20" s="6" t="n"/>
      <c r="B20" s="6" t="n"/>
      <c r="C20" s="6" t="n"/>
      <c r="D20" s="11" t="n"/>
      <c r="E20" s="6" t="n"/>
      <c r="F20" s="11" t="n"/>
      <c r="G20" s="6" t="n"/>
      <c r="H20" s="6" t="n"/>
      <c r="I20" s="6" t="n"/>
      <c r="J20" s="6" t="n"/>
    </row>
    <row r="21">
      <c r="A21" s="6" t="n"/>
      <c r="B21" s="6" t="n"/>
      <c r="C21" s="6" t="n"/>
      <c r="D21" s="11" t="n"/>
      <c r="E21" s="6" t="n"/>
      <c r="F21" s="11" t="n"/>
      <c r="G21" s="6" t="n"/>
      <c r="H21" s="6" t="n"/>
      <c r="I21" s="6" t="n"/>
      <c r="J21" s="6" t="n"/>
    </row>
    <row r="22">
      <c r="A22" s="6" t="n"/>
      <c r="B22" s="6" t="n"/>
      <c r="C22" s="6" t="n"/>
      <c r="D22" s="11" t="n"/>
      <c r="E22" s="6" t="n"/>
      <c r="F22" s="11" t="n"/>
      <c r="G22" s="6" t="n"/>
      <c r="H22" s="6" t="n"/>
      <c r="I22" s="6" t="n"/>
      <c r="J22" s="6" t="n"/>
    </row>
    <row r="23">
      <c r="A23" s="6" t="n"/>
      <c r="B23" s="6" t="n"/>
      <c r="C23" s="6" t="n"/>
      <c r="D23" s="11" t="n"/>
      <c r="E23" s="6" t="n"/>
      <c r="F23" s="11" t="n"/>
      <c r="G23" s="6" t="n"/>
      <c r="H23" s="6" t="n"/>
      <c r="I23" s="6" t="n"/>
      <c r="J23" s="6" t="n"/>
    </row>
    <row r="24">
      <c r="A24" s="6" t="n"/>
      <c r="B24" s="6" t="n"/>
      <c r="C24" s="6" t="n"/>
      <c r="D24" s="11" t="n"/>
      <c r="E24" s="6" t="n"/>
      <c r="F24" s="11" t="n"/>
      <c r="G24" s="6" t="n"/>
      <c r="H24" s="6" t="n"/>
      <c r="I24" s="6" t="n"/>
      <c r="J24" s="6" t="n"/>
    </row>
    <row r="25">
      <c r="A25" s="6" t="n"/>
      <c r="B25" s="6" t="n"/>
      <c r="C25" s="6" t="n"/>
      <c r="D25" s="11" t="n"/>
      <c r="E25" s="6" t="n"/>
      <c r="F25" s="11" t="n"/>
      <c r="G25" s="6" t="n"/>
      <c r="H25" s="6" t="n"/>
      <c r="I25" s="6" t="n"/>
      <c r="J25" s="6" t="n"/>
    </row>
    <row r="26">
      <c r="A26" s="6" t="n"/>
      <c r="B26" s="6" t="n"/>
      <c r="C26" s="6" t="n"/>
      <c r="D26" s="11" t="n"/>
      <c r="E26" s="6" t="n"/>
      <c r="F26" s="11" t="n"/>
      <c r="G26" s="6" t="n"/>
      <c r="H26" s="6" t="n"/>
      <c r="I26" s="6" t="n"/>
      <c r="J26" s="6" t="n"/>
    </row>
    <row r="27">
      <c r="A27" s="6" t="n"/>
      <c r="B27" s="6" t="n"/>
      <c r="C27" s="6" t="n"/>
      <c r="D27" s="11" t="n"/>
      <c r="E27" s="6" t="n"/>
      <c r="F27" s="11" t="n"/>
      <c r="G27" s="6" t="n"/>
      <c r="H27" s="6" t="n"/>
      <c r="I27" s="6" t="n"/>
      <c r="J27" s="6" t="n"/>
    </row>
    <row r="28">
      <c r="A28" s="6" t="n"/>
      <c r="B28" s="6" t="n"/>
      <c r="C28" s="6" t="n"/>
      <c r="D28" s="11" t="n"/>
      <c r="E28" s="6" t="n"/>
      <c r="F28" s="11" t="n"/>
      <c r="G28" s="6" t="n"/>
      <c r="H28" s="6" t="n"/>
      <c r="I28" s="6" t="n"/>
      <c r="J28" s="6" t="n"/>
    </row>
    <row r="29">
      <c r="A29" s="6" t="n"/>
      <c r="B29" s="6" t="n"/>
      <c r="C29" s="6" t="n"/>
      <c r="D29" s="11" t="n"/>
      <c r="E29" s="6" t="n"/>
      <c r="F29" s="11" t="n"/>
      <c r="G29" s="6" t="n"/>
      <c r="H29" s="6" t="n"/>
      <c r="I29" s="6" t="n"/>
      <c r="J29" s="6" t="n"/>
    </row>
    <row r="30">
      <c r="A30" s="6" t="n"/>
      <c r="B30" s="6" t="n"/>
      <c r="C30" s="6" t="n"/>
      <c r="D30" s="11" t="n"/>
      <c r="E30" s="6" t="n"/>
      <c r="F30" s="11" t="n"/>
      <c r="G30" s="6" t="n"/>
      <c r="H30" s="6" t="n"/>
      <c r="I30" s="6" t="n"/>
      <c r="J30" s="6" t="n"/>
    </row>
    <row r="31">
      <c r="A31" s="6" t="n"/>
      <c r="B31" s="6" t="n"/>
      <c r="C31" s="6" t="n"/>
      <c r="D31" s="11" t="n"/>
      <c r="E31" s="6" t="n"/>
      <c r="F31" s="11" t="n"/>
      <c r="G31" s="6" t="n"/>
      <c r="H31" s="6" t="n"/>
      <c r="I31" s="6" t="n"/>
      <c r="J31" s="6" t="n"/>
    </row>
    <row r="32">
      <c r="A32" s="6" t="n"/>
      <c r="B32" s="6" t="n"/>
      <c r="C32" s="6" t="n"/>
      <c r="D32" s="11" t="n"/>
      <c r="E32" s="6" t="n"/>
      <c r="F32" s="11" t="n"/>
      <c r="G32" s="6" t="n"/>
      <c r="H32" s="6" t="n"/>
      <c r="I32" s="6" t="n"/>
      <c r="J32" s="6" t="n"/>
    </row>
    <row r="33">
      <c r="A33" s="6" t="n"/>
      <c r="B33" s="6" t="n"/>
      <c r="C33" s="6" t="n"/>
      <c r="D33" s="11" t="n"/>
      <c r="E33" s="6" t="n"/>
      <c r="F33" s="11" t="n"/>
      <c r="G33" s="6" t="n"/>
      <c r="H33" s="6" t="n"/>
      <c r="I33" s="6" t="n"/>
      <c r="J33" s="6" t="n"/>
    </row>
    <row r="34">
      <c r="A34" s="6" t="n"/>
      <c r="B34" s="6" t="n"/>
      <c r="C34" s="6" t="n"/>
      <c r="D34" s="11" t="n"/>
      <c r="E34" s="6" t="n"/>
      <c r="F34" s="11" t="n"/>
      <c r="G34" s="6" t="n"/>
      <c r="H34" s="6" t="n"/>
      <c r="I34" s="6" t="n"/>
      <c r="J34" s="6" t="n"/>
    </row>
    <row r="35">
      <c r="A35" s="6" t="n"/>
      <c r="B35" s="6" t="n"/>
      <c r="C35" s="6" t="n"/>
      <c r="D35" s="11" t="n"/>
      <c r="E35" s="6" t="n"/>
      <c r="F35" s="11" t="n"/>
      <c r="G35" s="6" t="n"/>
      <c r="H35" s="6" t="n"/>
      <c r="I35" s="6" t="n"/>
      <c r="J35" s="6" t="n"/>
    </row>
    <row r="36">
      <c r="A36" s="6" t="n"/>
      <c r="B36" s="6" t="n"/>
      <c r="C36" s="6" t="n"/>
      <c r="D36" s="11" t="n"/>
      <c r="E36" s="6" t="n"/>
      <c r="F36" s="11" t="n"/>
      <c r="G36" s="6" t="n"/>
      <c r="H36" s="6" t="n"/>
      <c r="I36" s="6" t="n"/>
      <c r="J36" s="6" t="n"/>
    </row>
    <row r="37">
      <c r="A37" s="6" t="n"/>
      <c r="B37" s="6" t="n"/>
      <c r="C37" s="6" t="n"/>
      <c r="D37" s="11" t="n"/>
      <c r="E37" s="6" t="n"/>
      <c r="F37" s="11" t="n"/>
      <c r="G37" s="6" t="n"/>
      <c r="H37" s="6" t="n"/>
      <c r="I37" s="6" t="n"/>
      <c r="J37" s="6" t="n"/>
    </row>
    <row r="38">
      <c r="A38" s="6" t="n"/>
      <c r="B38" s="6" t="n"/>
      <c r="C38" s="6" t="n"/>
      <c r="D38" s="11" t="n"/>
      <c r="E38" s="6" t="n"/>
      <c r="F38" s="11" t="n"/>
      <c r="G38" s="6" t="n"/>
      <c r="H38" s="6" t="n"/>
      <c r="I38" s="6" t="n"/>
      <c r="J38" s="6" t="n"/>
    </row>
    <row r="39">
      <c r="A39" s="6" t="n"/>
      <c r="B39" s="6" t="n"/>
      <c r="C39" s="6" t="n"/>
      <c r="D39" s="11" t="n"/>
      <c r="E39" s="6" t="n"/>
      <c r="F39" s="11" t="n"/>
      <c r="G39" s="6" t="n"/>
      <c r="H39" s="6" t="n"/>
      <c r="I39" s="6" t="n"/>
      <c r="J39" s="6" t="n"/>
    </row>
    <row r="40">
      <c r="A40" s="6" t="n"/>
      <c r="B40" s="6" t="n"/>
      <c r="C40" s="6" t="n"/>
      <c r="D40" s="11" t="n"/>
      <c r="E40" s="6" t="n"/>
      <c r="F40" s="11" t="n"/>
      <c r="G40" s="6" t="n"/>
      <c r="H40" s="6" t="n"/>
      <c r="I40" s="6" t="n"/>
      <c r="J40" s="6" t="n"/>
    </row>
    <row r="41">
      <c r="A41" s="6" t="n"/>
      <c r="B41" s="6" t="n"/>
      <c r="C41" s="6" t="n"/>
      <c r="D41" s="11" t="n"/>
      <c r="E41" s="6" t="n"/>
      <c r="F41" s="11" t="n"/>
      <c r="G41" s="6" t="n"/>
      <c r="H41" s="6" t="n"/>
      <c r="I41" s="6" t="n"/>
      <c r="J41" s="6" t="n"/>
    </row>
    <row r="42">
      <c r="A42" s="6" t="n"/>
      <c r="B42" s="6" t="n"/>
      <c r="C42" s="6" t="n"/>
      <c r="D42" s="11" t="n"/>
      <c r="E42" s="6" t="n"/>
      <c r="F42" s="11" t="n"/>
      <c r="G42" s="6" t="n"/>
      <c r="H42" s="6" t="n"/>
      <c r="I42" s="6" t="n"/>
      <c r="J42" s="6" t="n"/>
    </row>
    <row r="43">
      <c r="A43" s="6" t="n"/>
      <c r="B43" s="6" t="n"/>
      <c r="C43" s="6" t="n"/>
      <c r="D43" s="11" t="n"/>
      <c r="E43" s="6" t="n"/>
      <c r="F43" s="11" t="n"/>
      <c r="G43" s="6" t="n"/>
      <c r="H43" s="6" t="n"/>
      <c r="I43" s="6" t="n"/>
      <c r="J43" s="6" t="n"/>
    </row>
    <row r="44">
      <c r="A44" s="6" t="n"/>
      <c r="B44" s="6" t="n"/>
      <c r="C44" s="6" t="n"/>
      <c r="D44" s="11" t="n"/>
      <c r="E44" s="6" t="n"/>
      <c r="F44" s="11" t="n"/>
      <c r="G44" s="6" t="n"/>
      <c r="H44" s="6" t="n"/>
      <c r="I44" s="6" t="n"/>
      <c r="J44" s="6" t="n"/>
    </row>
    <row r="45">
      <c r="A45" s="6" t="n"/>
      <c r="B45" s="6" t="n"/>
      <c r="C45" s="6" t="n"/>
      <c r="D45" s="11" t="n"/>
      <c r="E45" s="6" t="n"/>
      <c r="F45" s="11" t="n"/>
      <c r="G45" s="6" t="n"/>
      <c r="H45" s="6" t="n"/>
      <c r="I45" s="6" t="n"/>
      <c r="J45" s="6" t="n"/>
    </row>
    <row r="46">
      <c r="A46" s="6" t="n"/>
      <c r="B46" s="6" t="n"/>
      <c r="C46" s="6" t="n"/>
      <c r="D46" s="11" t="n"/>
      <c r="E46" s="6" t="n"/>
      <c r="F46" s="11" t="n"/>
      <c r="G46" s="6" t="n"/>
      <c r="H46" s="6" t="n"/>
      <c r="I46" s="6" t="n"/>
      <c r="J46" s="6" t="n"/>
    </row>
    <row r="47">
      <c r="A47" s="6" t="n"/>
      <c r="B47" s="6" t="n"/>
      <c r="C47" s="6" t="n"/>
      <c r="D47" s="11" t="n"/>
      <c r="E47" s="6" t="n"/>
      <c r="F47" s="11" t="n"/>
      <c r="G47" s="6" t="n"/>
      <c r="H47" s="6" t="n"/>
      <c r="I47" s="6" t="n"/>
      <c r="J47" s="6" t="n"/>
    </row>
    <row r="48">
      <c r="A48" s="6" t="n"/>
      <c r="B48" s="6" t="n"/>
      <c r="C48" s="6" t="n"/>
      <c r="D48" s="11" t="n"/>
      <c r="E48" s="6" t="n"/>
      <c r="F48" s="11" t="n"/>
      <c r="G48" s="6" t="n"/>
      <c r="H48" s="6" t="n"/>
      <c r="I48" s="6" t="n"/>
      <c r="J48" s="6" t="n"/>
    </row>
    <row r="49">
      <c r="A49" s="6" t="n"/>
      <c r="B49" s="6" t="n"/>
      <c r="C49" s="6" t="n"/>
      <c r="D49" s="11" t="n"/>
      <c r="E49" s="6" t="n"/>
      <c r="F49" s="11" t="n"/>
      <c r="G49" s="6" t="n"/>
      <c r="H49" s="6" t="n"/>
      <c r="I49" s="6" t="n"/>
      <c r="J49" s="6" t="n"/>
    </row>
    <row r="50">
      <c r="A50" s="6" t="n"/>
      <c r="B50" s="6" t="n"/>
      <c r="C50" s="6" t="n"/>
      <c r="D50" s="11" t="n"/>
      <c r="E50" s="6" t="n"/>
      <c r="F50" s="11" t="n"/>
      <c r="G50" s="6" t="n"/>
      <c r="H50" s="6" t="n"/>
      <c r="I50" s="6" t="n"/>
      <c r="J50" s="6" t="n"/>
    </row>
    <row r="51">
      <c r="A51" s="6" t="n"/>
      <c r="B51" s="6" t="n"/>
      <c r="C51" s="6" t="n"/>
      <c r="D51" s="11" t="n"/>
      <c r="E51" s="6" t="n"/>
      <c r="F51" s="11" t="n"/>
      <c r="G51" s="6" t="n"/>
      <c r="H51" s="6" t="n"/>
      <c r="I51" s="6" t="n"/>
      <c r="J51" s="6" t="n"/>
    </row>
    <row r="52">
      <c r="A52" s="6" t="n"/>
      <c r="B52" s="6" t="n"/>
      <c r="C52" s="6" t="n"/>
      <c r="D52" s="11" t="n"/>
      <c r="E52" s="6" t="n"/>
      <c r="F52" s="11" t="n"/>
      <c r="G52" s="6" t="n"/>
      <c r="H52" s="6" t="n"/>
      <c r="I52" s="6" t="n"/>
      <c r="J52" s="6" t="n"/>
    </row>
    <row r="53">
      <c r="A53" s="6" t="n"/>
      <c r="B53" s="6" t="n"/>
      <c r="C53" s="6" t="n"/>
      <c r="D53" s="11" t="n"/>
      <c r="E53" s="6" t="n"/>
      <c r="F53" s="11" t="n"/>
      <c r="G53" s="6" t="n"/>
      <c r="H53" s="6" t="n"/>
      <c r="I53" s="6" t="n"/>
      <c r="J53" s="6" t="n"/>
    </row>
    <row r="54">
      <c r="A54" s="6" t="n"/>
      <c r="B54" s="6" t="n"/>
      <c r="C54" s="6" t="n"/>
      <c r="D54" s="11" t="n"/>
      <c r="E54" s="6" t="n"/>
      <c r="F54" s="11" t="n"/>
      <c r="G54" s="6" t="n"/>
      <c r="H54" s="6" t="n"/>
      <c r="I54" s="6" t="n"/>
      <c r="J54" s="6" t="n"/>
    </row>
    <row r="55">
      <c r="A55" s="6" t="n"/>
      <c r="B55" s="6" t="n"/>
      <c r="C55" s="6" t="n"/>
      <c r="D55" s="11" t="n"/>
      <c r="E55" s="6" t="n"/>
      <c r="F55" s="11" t="n"/>
      <c r="G55" s="6" t="n"/>
      <c r="H55" s="6" t="n"/>
      <c r="I55" s="6" t="n"/>
      <c r="J55" s="6" t="n"/>
    </row>
    <row r="56">
      <c r="A56" s="6" t="n"/>
      <c r="B56" s="6" t="n"/>
      <c r="C56" s="6" t="n"/>
      <c r="D56" s="11" t="n"/>
      <c r="E56" s="6" t="n"/>
      <c r="F56" s="11" t="n"/>
      <c r="G56" s="6" t="n"/>
      <c r="H56" s="6" t="n"/>
      <c r="I56" s="6" t="n"/>
      <c r="J56" s="6" t="n"/>
    </row>
    <row r="57">
      <c r="A57" s="6" t="n"/>
      <c r="B57" s="6" t="n"/>
      <c r="C57" s="6" t="n"/>
      <c r="D57" s="11" t="n"/>
      <c r="E57" s="6" t="n"/>
      <c r="F57" s="11" t="n"/>
      <c r="G57" s="6" t="n"/>
      <c r="H57" s="6" t="n"/>
      <c r="I57" s="6" t="n"/>
      <c r="J57" s="6" t="n"/>
    </row>
    <row r="58">
      <c r="A58" s="6" t="n"/>
      <c r="B58" s="6" t="n"/>
      <c r="C58" s="6" t="n"/>
      <c r="D58" s="11" t="n"/>
      <c r="E58" s="6" t="n"/>
      <c r="F58" s="11" t="n"/>
      <c r="G58" s="6" t="n"/>
      <c r="H58" s="6" t="n"/>
      <c r="I58" s="6" t="n"/>
      <c r="J58" s="6" t="n"/>
    </row>
    <row r="59">
      <c r="A59" s="6" t="n"/>
      <c r="B59" s="6" t="n"/>
      <c r="C59" s="6" t="n"/>
      <c r="D59" s="11" t="n"/>
      <c r="E59" s="6" t="n"/>
      <c r="F59" s="11" t="n"/>
      <c r="G59" s="6" t="n"/>
      <c r="H59" s="6" t="n"/>
      <c r="I59" s="6" t="n"/>
      <c r="J59" s="6" t="n"/>
    </row>
    <row r="60">
      <c r="A60" s="6" t="n"/>
      <c r="B60" s="6" t="n"/>
      <c r="C60" s="6" t="n"/>
      <c r="D60" s="11" t="n"/>
      <c r="E60" s="6" t="n"/>
      <c r="F60" s="11" t="n"/>
      <c r="G60" s="6" t="n"/>
      <c r="H60" s="6" t="n"/>
      <c r="I60" s="6" t="n"/>
      <c r="J60" s="6" t="n"/>
    </row>
    <row r="61">
      <c r="A61" s="6" t="n"/>
      <c r="B61" s="6" t="n"/>
      <c r="C61" s="6" t="n"/>
      <c r="D61" s="11" t="n"/>
      <c r="E61" s="6" t="n"/>
      <c r="F61" s="11" t="n"/>
      <c r="G61" s="6" t="n"/>
      <c r="H61" s="6" t="n"/>
      <c r="I61" s="6" t="n"/>
      <c r="J61" s="6" t="n"/>
    </row>
    <row r="62">
      <c r="A62" s="6" t="n"/>
      <c r="B62" s="6" t="n"/>
      <c r="C62" s="6" t="n"/>
      <c r="D62" s="11" t="n"/>
      <c r="E62" s="6" t="n"/>
      <c r="F62" s="11" t="n"/>
      <c r="G62" s="6" t="n"/>
      <c r="H62" s="6" t="n"/>
      <c r="I62" s="6" t="n"/>
      <c r="J62" s="6" t="n"/>
    </row>
    <row r="63">
      <c r="A63" s="6" t="n"/>
      <c r="B63" s="6" t="n"/>
      <c r="C63" s="6" t="n"/>
      <c r="D63" s="11" t="n"/>
      <c r="E63" s="6" t="n"/>
      <c r="F63" s="11" t="n"/>
      <c r="G63" s="6" t="n"/>
      <c r="H63" s="6" t="n"/>
      <c r="I63" s="6" t="n"/>
      <c r="J63" s="6" t="n"/>
    </row>
    <row r="64">
      <c r="A64" s="6" t="n"/>
      <c r="B64" s="6" t="n"/>
      <c r="C64" s="6" t="n"/>
      <c r="D64" s="11" t="n"/>
      <c r="E64" s="6" t="n"/>
      <c r="F64" s="11" t="n"/>
      <c r="G64" s="6" t="n"/>
      <c r="H64" s="6" t="n"/>
      <c r="I64" s="6" t="n"/>
      <c r="J64" s="6" t="n"/>
    </row>
    <row r="65">
      <c r="A65" s="6" t="n"/>
      <c r="B65" s="6" t="n"/>
      <c r="C65" s="6" t="n"/>
      <c r="D65" s="11" t="n"/>
      <c r="E65" s="6" t="n"/>
      <c r="F65" s="11" t="n"/>
      <c r="G65" s="6" t="n"/>
      <c r="H65" s="6" t="n"/>
      <c r="I65" s="6" t="n"/>
      <c r="J65" s="6" t="n"/>
    </row>
    <row r="66">
      <c r="A66" s="6" t="n"/>
      <c r="B66" s="6" t="n"/>
      <c r="C66" s="6" t="n"/>
      <c r="D66" s="11" t="n"/>
      <c r="E66" s="6" t="n"/>
      <c r="F66" s="11" t="n"/>
      <c r="G66" s="6" t="n"/>
      <c r="H66" s="6" t="n"/>
      <c r="I66" s="6" t="n"/>
      <c r="J66" s="6" t="n"/>
    </row>
    <row r="67">
      <c r="A67" s="6" t="n"/>
      <c r="B67" s="6" t="n"/>
      <c r="C67" s="6" t="n"/>
      <c r="D67" s="11" t="n"/>
      <c r="E67" s="6" t="n"/>
      <c r="F67" s="11" t="n"/>
      <c r="G67" s="6" t="n"/>
      <c r="H67" s="6" t="n"/>
      <c r="I67" s="6" t="n"/>
      <c r="J67" s="6" t="n"/>
    </row>
    <row r="68">
      <c r="A68" s="6" t="n"/>
      <c r="B68" s="6" t="n"/>
      <c r="C68" s="6" t="n"/>
      <c r="D68" s="11" t="n"/>
      <c r="E68" s="6" t="n"/>
      <c r="F68" s="11" t="n"/>
      <c r="G68" s="6" t="n"/>
      <c r="H68" s="6" t="n"/>
      <c r="I68" s="6" t="n"/>
      <c r="J68" s="6" t="n"/>
    </row>
    <row r="69">
      <c r="A69" s="6" t="n"/>
      <c r="B69" s="6" t="n"/>
      <c r="C69" s="6" t="n"/>
      <c r="D69" s="11" t="n"/>
      <c r="E69" s="6" t="n"/>
      <c r="F69" s="11" t="n"/>
      <c r="G69" s="6" t="n"/>
      <c r="H69" s="6" t="n"/>
      <c r="I69" s="6" t="n"/>
      <c r="J69" s="6" t="n"/>
    </row>
    <row r="70">
      <c r="A70" s="6" t="n"/>
      <c r="B70" s="6" t="n"/>
      <c r="C70" s="6" t="n"/>
      <c r="D70" s="11" t="n"/>
      <c r="E70" s="6" t="n"/>
      <c r="F70" s="11" t="n"/>
      <c r="G70" s="6" t="n"/>
      <c r="H70" s="6" t="n"/>
      <c r="I70" s="6" t="n"/>
      <c r="J70" s="6" t="n"/>
    </row>
    <row r="71">
      <c r="A71" s="6" t="n"/>
      <c r="B71" s="6" t="n"/>
      <c r="C71" s="6" t="n"/>
      <c r="D71" s="11" t="n"/>
      <c r="E71" s="6" t="n"/>
      <c r="F71" s="11" t="n"/>
      <c r="G71" s="6" t="n"/>
      <c r="H71" s="6" t="n"/>
      <c r="I71" s="6" t="n"/>
      <c r="J71" s="6" t="n"/>
    </row>
    <row r="72">
      <c r="A72" s="6" t="n"/>
      <c r="B72" s="6" t="n"/>
      <c r="C72" s="6" t="n"/>
      <c r="D72" s="11" t="n"/>
      <c r="E72" s="6" t="n"/>
      <c r="F72" s="11" t="n"/>
      <c r="G72" s="6" t="n"/>
      <c r="H72" s="6" t="n"/>
      <c r="I72" s="6" t="n"/>
      <c r="J72" s="6" t="n"/>
    </row>
    <row r="73">
      <c r="A73" s="6" t="n"/>
      <c r="B73" s="6" t="n"/>
      <c r="C73" s="6" t="n"/>
      <c r="D73" s="11" t="n"/>
      <c r="E73" s="6" t="n"/>
      <c r="F73" s="11" t="n"/>
      <c r="G73" s="6" t="n"/>
      <c r="H73" s="6" t="n"/>
      <c r="I73" s="6" t="n"/>
      <c r="J73" s="6" t="n"/>
    </row>
    <row r="74">
      <c r="A74" s="6" t="n"/>
      <c r="B74" s="6" t="n"/>
      <c r="C74" s="6" t="n"/>
      <c r="D74" s="11" t="n"/>
      <c r="E74" s="6" t="n"/>
      <c r="F74" s="11" t="n"/>
      <c r="G74" s="6" t="n"/>
      <c r="H74" s="6" t="n"/>
      <c r="I74" s="6" t="n"/>
      <c r="J74" s="6" t="n"/>
    </row>
    <row r="75">
      <c r="A75" s="6" t="n"/>
      <c r="B75" s="6" t="n"/>
      <c r="C75" s="6" t="n"/>
      <c r="D75" s="11" t="n"/>
      <c r="E75" s="6" t="n"/>
      <c r="F75" s="11" t="n"/>
      <c r="G75" s="6" t="n"/>
      <c r="H75" s="6" t="n"/>
      <c r="I75" s="6" t="n"/>
      <c r="J75" s="6" t="n"/>
    </row>
    <row r="76">
      <c r="A76" s="6" t="n"/>
      <c r="B76" s="6" t="n"/>
      <c r="C76" s="6" t="n"/>
      <c r="D76" s="11" t="n"/>
      <c r="E76" s="6" t="n"/>
      <c r="F76" s="11" t="n"/>
      <c r="G76" s="6" t="n"/>
      <c r="H76" s="6" t="n"/>
      <c r="I76" s="6" t="n"/>
      <c r="J76" s="6" t="n"/>
    </row>
    <row r="77">
      <c r="A77" s="6" t="n"/>
      <c r="B77" s="6" t="n"/>
      <c r="C77" s="6" t="n"/>
      <c r="D77" s="11" t="n"/>
      <c r="E77" s="6" t="n"/>
      <c r="F77" s="11" t="n"/>
      <c r="G77" s="6" t="n"/>
      <c r="H77" s="6" t="n"/>
      <c r="I77" s="6" t="n"/>
      <c r="J77" s="6" t="n"/>
    </row>
    <row r="78">
      <c r="A78" s="6" t="n"/>
      <c r="B78" s="6" t="n"/>
      <c r="C78" s="6" t="n"/>
      <c r="D78" s="11" t="n"/>
      <c r="E78" s="6" t="n"/>
      <c r="F78" s="11" t="n"/>
      <c r="G78" s="6" t="n"/>
      <c r="H78" s="6" t="n"/>
      <c r="I78" s="6" t="n"/>
      <c r="J78" s="6" t="n"/>
    </row>
    <row r="79">
      <c r="A79" s="6" t="n"/>
      <c r="B79" s="6" t="n"/>
      <c r="C79" s="6" t="n"/>
      <c r="D79" s="11" t="n"/>
      <c r="E79" s="6" t="n"/>
      <c r="F79" s="11" t="n"/>
      <c r="G79" s="6" t="n"/>
      <c r="H79" s="6" t="n"/>
      <c r="I79" s="6" t="n"/>
      <c r="J79" s="6" t="n"/>
    </row>
    <row r="80">
      <c r="A80" s="6" t="n"/>
      <c r="B80" s="6" t="n"/>
      <c r="C80" s="6" t="n"/>
      <c r="D80" s="11" t="n"/>
      <c r="E80" s="6" t="n"/>
      <c r="F80" s="11" t="n"/>
      <c r="G80" s="6" t="n"/>
      <c r="H80" s="6" t="n"/>
      <c r="I80" s="6" t="n"/>
      <c r="J80" s="6" t="n"/>
    </row>
    <row r="81">
      <c r="A81" s="6" t="n"/>
      <c r="B81" s="6" t="n"/>
      <c r="C81" s="6" t="n"/>
      <c r="D81" s="11" t="n"/>
      <c r="E81" s="6" t="n"/>
      <c r="F81" s="11" t="n"/>
      <c r="G81" s="6" t="n"/>
      <c r="H81" s="6" t="n"/>
      <c r="I81" s="6" t="n"/>
      <c r="J81" s="6" t="n"/>
    </row>
    <row r="82">
      <c r="A82" s="6" t="n"/>
      <c r="B82" s="6" t="n"/>
      <c r="C82" s="6" t="n"/>
      <c r="D82" s="11" t="n"/>
      <c r="E82" s="6" t="n"/>
      <c r="F82" s="11" t="n"/>
      <c r="G82" s="6" t="n"/>
      <c r="H82" s="6" t="n"/>
      <c r="I82" s="6" t="n"/>
      <c r="J82" s="6" t="n"/>
    </row>
    <row r="83">
      <c r="A83" s="6" t="n"/>
      <c r="B83" s="6" t="n"/>
      <c r="C83" s="6" t="n"/>
      <c r="D83" s="11" t="n"/>
      <c r="E83" s="6" t="n"/>
      <c r="F83" s="11" t="n"/>
      <c r="G83" s="6" t="n"/>
      <c r="H83" s="6" t="n"/>
      <c r="I83" s="6" t="n"/>
      <c r="J83" s="6" t="n"/>
    </row>
    <row r="84">
      <c r="A84" s="6" t="n"/>
      <c r="B84" s="6" t="n"/>
      <c r="C84" s="6" t="n"/>
      <c r="D84" s="11" t="n"/>
      <c r="E84" s="6" t="n"/>
      <c r="F84" s="11" t="n"/>
      <c r="G84" s="6" t="n"/>
      <c r="H84" s="6" t="n"/>
      <c r="I84" s="6" t="n"/>
      <c r="J84" s="6" t="n"/>
    </row>
    <row r="85">
      <c r="A85" s="6" t="n"/>
      <c r="B85" s="6" t="n"/>
      <c r="C85" s="6" t="n"/>
      <c r="D85" s="11" t="n"/>
      <c r="E85" s="6" t="n"/>
      <c r="F85" s="11" t="n"/>
      <c r="G85" s="6" t="n"/>
      <c r="H85" s="6" t="n"/>
      <c r="I85" s="6" t="n"/>
      <c r="J85" s="6" t="n"/>
    </row>
    <row r="86">
      <c r="A86" s="6" t="n"/>
      <c r="B86" s="6" t="n"/>
      <c r="C86" s="6" t="n"/>
      <c r="D86" s="11" t="n"/>
      <c r="E86" s="6" t="n"/>
      <c r="F86" s="11" t="n"/>
      <c r="G86" s="6" t="n"/>
      <c r="H86" s="6" t="n"/>
      <c r="I86" s="6" t="n"/>
      <c r="J86" s="6" t="n"/>
    </row>
    <row r="87">
      <c r="A87" s="6" t="n"/>
      <c r="B87" s="6" t="n"/>
      <c r="C87" s="6" t="n"/>
      <c r="D87" s="11" t="n"/>
      <c r="E87" s="6" t="n"/>
      <c r="F87" s="11" t="n"/>
      <c r="G87" s="6" t="n"/>
      <c r="H87" s="6" t="n"/>
      <c r="I87" s="6" t="n"/>
      <c r="J87" s="6" t="n"/>
    </row>
    <row r="88">
      <c r="A88" s="6" t="n"/>
      <c r="B88" s="6" t="n"/>
      <c r="C88" s="6" t="n"/>
      <c r="D88" s="11" t="n"/>
      <c r="E88" s="6" t="n"/>
      <c r="F88" s="11" t="n"/>
      <c r="G88" s="6" t="n"/>
      <c r="H88" s="6" t="n"/>
      <c r="I88" s="6" t="n"/>
      <c r="J88" s="6" t="n"/>
    </row>
    <row r="89">
      <c r="A89" s="6" t="n"/>
      <c r="B89" s="6" t="n"/>
      <c r="C89" s="6" t="n"/>
      <c r="D89" s="11" t="n"/>
      <c r="E89" s="6" t="n"/>
      <c r="F89" s="11" t="n"/>
      <c r="G89" s="6" t="n"/>
      <c r="H89" s="6" t="n"/>
      <c r="I89" s="6" t="n"/>
      <c r="J89" s="6" t="n"/>
    </row>
    <row r="90">
      <c r="A90" s="6" t="n"/>
      <c r="B90" s="6" t="n"/>
      <c r="C90" s="6" t="n"/>
      <c r="D90" s="11" t="n"/>
      <c r="E90" s="6" t="n"/>
      <c r="F90" s="11" t="n"/>
      <c r="G90" s="6" t="n"/>
      <c r="H90" s="6" t="n"/>
      <c r="I90" s="6" t="n"/>
      <c r="J90" s="6" t="n"/>
    </row>
    <row r="91">
      <c r="A91" s="6" t="n"/>
      <c r="B91" s="6" t="n"/>
      <c r="C91" s="6" t="n"/>
      <c r="D91" s="11" t="n"/>
      <c r="E91" s="6" t="n"/>
      <c r="F91" s="11" t="n"/>
      <c r="G91" s="6" t="n"/>
      <c r="H91" s="6" t="n"/>
      <c r="I91" s="6" t="n"/>
      <c r="J91" s="6" t="n"/>
    </row>
    <row r="92">
      <c r="A92" s="6" t="n"/>
      <c r="B92" s="6" t="n"/>
      <c r="C92" s="6" t="n"/>
      <c r="D92" s="11" t="n"/>
      <c r="E92" s="6" t="n"/>
      <c r="F92" s="11" t="n"/>
      <c r="G92" s="6" t="n"/>
      <c r="H92" s="6" t="n"/>
      <c r="I92" s="6" t="n"/>
      <c r="J92" s="6" t="n"/>
    </row>
    <row r="93">
      <c r="A93" s="6" t="n"/>
      <c r="B93" s="6" t="n"/>
      <c r="C93" s="6" t="n"/>
      <c r="D93" s="11" t="n"/>
      <c r="E93" s="6" t="n"/>
      <c r="F93" s="11" t="n"/>
      <c r="G93" s="6" t="n"/>
      <c r="H93" s="6" t="n"/>
      <c r="I93" s="6" t="n"/>
      <c r="J93" s="6" t="n"/>
    </row>
    <row r="94">
      <c r="A94" s="6" t="n"/>
      <c r="B94" s="6" t="n"/>
      <c r="C94" s="6" t="n"/>
      <c r="D94" s="11" t="n"/>
      <c r="E94" s="6" t="n"/>
      <c r="F94" s="11" t="n"/>
      <c r="G94" s="6" t="n"/>
      <c r="H94" s="6" t="n"/>
      <c r="I94" s="6" t="n"/>
      <c r="J94" s="6" t="n"/>
    </row>
    <row r="95">
      <c r="A95" s="6" t="n"/>
      <c r="B95" s="6" t="n"/>
      <c r="C95" s="6" t="n"/>
      <c r="D95" s="11" t="n"/>
      <c r="E95" s="6" t="n"/>
      <c r="F95" s="11" t="n"/>
      <c r="G95" s="6" t="n"/>
      <c r="H95" s="6" t="n"/>
      <c r="I95" s="6" t="n"/>
      <c r="J95" s="6" t="n"/>
    </row>
    <row r="96">
      <c r="A96" s="6" t="n"/>
      <c r="B96" s="6" t="n"/>
      <c r="C96" s="6" t="n"/>
      <c r="D96" s="11" t="n"/>
      <c r="E96" s="6" t="n"/>
      <c r="F96" s="11" t="n"/>
      <c r="G96" s="6" t="n"/>
      <c r="H96" s="6" t="n"/>
      <c r="I96" s="6" t="n"/>
      <c r="J96" s="6" t="n"/>
    </row>
    <row r="97">
      <c r="A97" s="6" t="n"/>
      <c r="B97" s="6" t="n"/>
      <c r="C97" s="6" t="n"/>
      <c r="D97" s="11" t="n"/>
      <c r="E97" s="6" t="n"/>
      <c r="F97" s="11" t="n"/>
      <c r="G97" s="6" t="n"/>
      <c r="H97" s="6" t="n"/>
      <c r="I97" s="6" t="n"/>
      <c r="J97" s="6" t="n"/>
    </row>
    <row r="98">
      <c r="A98" s="6" t="n"/>
      <c r="B98" s="6" t="n"/>
      <c r="C98" s="6" t="n"/>
      <c r="D98" s="11" t="n"/>
      <c r="E98" s="6" t="n"/>
      <c r="F98" s="11" t="n"/>
      <c r="G98" s="6" t="n"/>
      <c r="H98" s="6" t="n"/>
      <c r="I98" s="6" t="n"/>
      <c r="J98" s="6" t="n"/>
    </row>
    <row r="99">
      <c r="A99" s="6" t="n"/>
      <c r="B99" s="6" t="n"/>
      <c r="C99" s="6" t="n"/>
      <c r="D99" s="11" t="n"/>
      <c r="E99" s="6" t="n"/>
      <c r="F99" s="11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11" t="n"/>
      <c r="E100" s="6" t="n"/>
      <c r="F100" s="11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11" t="n"/>
      <c r="E101" s="6" t="n"/>
      <c r="F101" s="11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11" t="n"/>
      <c r="E102" s="6" t="n"/>
      <c r="F102" s="11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11" t="n"/>
      <c r="E103" s="6" t="n"/>
      <c r="F103" s="11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11" t="n"/>
      <c r="E104" s="6" t="n"/>
      <c r="F104" s="11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11" t="n"/>
      <c r="E105" s="6" t="n"/>
      <c r="F105" s="11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11" t="n"/>
      <c r="E106" s="6" t="n"/>
      <c r="F106" s="11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11" t="n"/>
      <c r="E107" s="6" t="n"/>
      <c r="F107" s="11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11" t="n"/>
      <c r="E108" s="6" t="n"/>
      <c r="F108" s="11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11" t="n"/>
      <c r="E109" s="6" t="n"/>
      <c r="F109" s="11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11" t="n"/>
      <c r="E110" s="6" t="n"/>
      <c r="F110" s="11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11" t="n"/>
      <c r="E111" s="6" t="n"/>
      <c r="F111" s="11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11" t="n"/>
      <c r="E112" s="6" t="n"/>
      <c r="F112" s="11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11" t="n"/>
      <c r="E113" s="6" t="n"/>
      <c r="F113" s="11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11" t="n"/>
      <c r="E114" s="6" t="n"/>
      <c r="F114" s="11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11" t="n"/>
      <c r="E115" s="6" t="n"/>
      <c r="F115" s="11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11" t="n"/>
      <c r="E116" s="6" t="n"/>
      <c r="F116" s="11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11" t="n"/>
      <c r="E117" s="6" t="n"/>
      <c r="F117" s="11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11" t="n"/>
      <c r="E118" s="6" t="n"/>
      <c r="F118" s="11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11" t="n"/>
      <c r="E119" s="6" t="n"/>
      <c r="F119" s="11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11" t="n"/>
      <c r="E120" s="6" t="n"/>
      <c r="F120" s="11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11" t="n"/>
      <c r="E121" s="6" t="n"/>
      <c r="F121" s="11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11" t="n"/>
      <c r="E122" s="6" t="n"/>
      <c r="F122" s="11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11" t="n"/>
      <c r="E123" s="6" t="n"/>
      <c r="F123" s="11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11" t="n"/>
      <c r="E124" s="6" t="n"/>
      <c r="F124" s="11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11" t="n"/>
      <c r="E125" s="6" t="n"/>
      <c r="F125" s="11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11" t="n"/>
      <c r="E126" s="6" t="n"/>
      <c r="F126" s="11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11" t="n"/>
      <c r="E127" s="6" t="n"/>
      <c r="F127" s="11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11" t="n"/>
      <c r="E128" s="6" t="n"/>
      <c r="F128" s="11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11" t="n"/>
      <c r="E129" s="6" t="n"/>
      <c r="F129" s="11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11" t="n"/>
      <c r="E130" s="6" t="n"/>
      <c r="F130" s="11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11" t="n"/>
      <c r="E131" s="6" t="n"/>
      <c r="F131" s="11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11" t="n"/>
      <c r="E132" s="6" t="n"/>
      <c r="F132" s="11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11" t="n"/>
      <c r="E133" s="6" t="n"/>
      <c r="F133" s="11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11" t="n"/>
      <c r="E134" s="6" t="n"/>
      <c r="F134" s="11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11" t="n"/>
      <c r="E135" s="6" t="n"/>
      <c r="F135" s="11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11" t="n"/>
      <c r="E136" s="6" t="n"/>
      <c r="F136" s="11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11" t="n"/>
      <c r="E137" s="6" t="n"/>
      <c r="F137" s="11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11" t="n"/>
      <c r="E138" s="6" t="n"/>
      <c r="F138" s="11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11" t="n"/>
      <c r="E139" s="6" t="n"/>
      <c r="F139" s="11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11" t="n"/>
      <c r="E140" s="6" t="n"/>
      <c r="F140" s="11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11" t="n"/>
      <c r="E141" s="6" t="n"/>
      <c r="F141" s="11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11" t="n"/>
      <c r="E142" s="6" t="n"/>
      <c r="F142" s="11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11" t="n"/>
      <c r="E143" s="6" t="n"/>
      <c r="F143" s="11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11" t="n"/>
      <c r="E144" s="6" t="n"/>
      <c r="F144" s="11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11" t="n"/>
      <c r="E145" s="6" t="n"/>
      <c r="F145" s="11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11" t="n"/>
      <c r="E146" s="6" t="n"/>
      <c r="F146" s="11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11" t="n"/>
      <c r="E147" s="6" t="n"/>
      <c r="F147" s="11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11" t="n"/>
      <c r="E148" s="6" t="n"/>
      <c r="F148" s="11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11" t="n"/>
      <c r="E149" s="6" t="n"/>
      <c r="F149" s="11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11" t="n"/>
      <c r="E150" s="6" t="n"/>
      <c r="F150" s="11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11" t="n"/>
      <c r="E151" s="6" t="n"/>
      <c r="F151" s="11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11" t="n"/>
      <c r="E152" s="6" t="n"/>
      <c r="F152" s="11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11" t="n"/>
      <c r="E153" s="6" t="n"/>
      <c r="F153" s="11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11" t="n"/>
      <c r="E154" s="6" t="n"/>
      <c r="F154" s="11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11" t="n"/>
      <c r="E155" s="6" t="n"/>
      <c r="F155" s="11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11" t="n"/>
      <c r="E156" s="6" t="n"/>
      <c r="F156" s="11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11" t="n"/>
      <c r="E157" s="6" t="n"/>
      <c r="F157" s="11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11" t="n"/>
      <c r="E158" s="6" t="n"/>
      <c r="F158" s="11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11" t="n"/>
      <c r="E159" s="6" t="n"/>
      <c r="F159" s="11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11" t="n"/>
      <c r="E160" s="6" t="n"/>
      <c r="F160" s="11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11" t="n"/>
      <c r="E161" s="6" t="n"/>
      <c r="F161" s="11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11" t="n"/>
      <c r="E162" s="6" t="n"/>
      <c r="F162" s="11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11" t="n"/>
      <c r="E163" s="6" t="n"/>
      <c r="F163" s="11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11" t="n"/>
      <c r="E164" s="6" t="n"/>
      <c r="F164" s="11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11" t="n"/>
      <c r="E165" s="6" t="n"/>
      <c r="F165" s="11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11" t="n"/>
      <c r="E166" s="6" t="n"/>
      <c r="F166" s="11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11" t="n"/>
      <c r="E167" s="6" t="n"/>
      <c r="F167" s="11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11" t="n"/>
      <c r="E168" s="6" t="n"/>
      <c r="F168" s="11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11" t="n"/>
      <c r="E169" s="6" t="n"/>
      <c r="F169" s="11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11" t="n"/>
      <c r="E170" s="6" t="n"/>
      <c r="F170" s="11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11" t="n"/>
      <c r="E171" s="6" t="n"/>
      <c r="F171" s="11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11" t="n"/>
      <c r="E172" s="6" t="n"/>
      <c r="F172" s="11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11" t="n"/>
      <c r="E173" s="6" t="n"/>
      <c r="F173" s="11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11" t="n"/>
      <c r="E174" s="6" t="n"/>
      <c r="F174" s="11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11" t="n"/>
      <c r="E175" s="6" t="n"/>
      <c r="F175" s="11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11" t="n"/>
      <c r="E176" s="6" t="n"/>
      <c r="F176" s="11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11" t="n"/>
      <c r="E177" s="6" t="n"/>
      <c r="F177" s="11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11" t="n"/>
      <c r="E178" s="6" t="n"/>
      <c r="F178" s="11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11" t="n"/>
      <c r="E179" s="6" t="n"/>
      <c r="F179" s="11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11" t="n"/>
      <c r="E180" s="6" t="n"/>
      <c r="F180" s="11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11" t="n"/>
      <c r="E181" s="6" t="n"/>
      <c r="F181" s="11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11" t="n"/>
      <c r="E182" s="6" t="n"/>
      <c r="F182" s="11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11" t="n"/>
      <c r="E183" s="6" t="n"/>
      <c r="F183" s="11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11" t="n"/>
      <c r="E184" s="6" t="n"/>
      <c r="F184" s="11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11" t="n"/>
      <c r="E185" s="6" t="n"/>
      <c r="F185" s="11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11" t="n"/>
      <c r="E186" s="6" t="n"/>
      <c r="F186" s="11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11" t="n"/>
      <c r="E187" s="6" t="n"/>
      <c r="F187" s="11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11" t="n"/>
      <c r="E188" s="6" t="n"/>
      <c r="F188" s="11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11" t="n"/>
      <c r="E189" s="6" t="n"/>
      <c r="F189" s="11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11" t="n"/>
      <c r="E190" s="6" t="n"/>
      <c r="F190" s="11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11" t="n"/>
      <c r="E191" s="6" t="n"/>
      <c r="F191" s="11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11" t="n"/>
      <c r="E192" s="6" t="n"/>
      <c r="F192" s="11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11" t="n"/>
      <c r="E193" s="6" t="n"/>
      <c r="F193" s="11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11" t="n"/>
      <c r="E194" s="6" t="n"/>
      <c r="F194" s="11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11" t="n"/>
      <c r="E195" s="6" t="n"/>
      <c r="F195" s="11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11" t="n"/>
      <c r="E196" s="6" t="n"/>
      <c r="F196" s="11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11" t="n"/>
      <c r="E197" s="6" t="n"/>
      <c r="F197" s="11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11" t="n"/>
      <c r="E198" s="6" t="n"/>
      <c r="F198" s="11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11" t="n"/>
      <c r="E199" s="6" t="n"/>
      <c r="F199" s="11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11" t="n"/>
      <c r="E200" s="6" t="n"/>
      <c r="F200" s="11" t="n"/>
      <c r="G200" s="6" t="n"/>
      <c r="H200" s="6" t="n"/>
      <c r="I200" s="6" t="n"/>
      <c r="J200" s="6" t="n"/>
    </row>
  </sheetData>
  <conditionalFormatting sqref="A2:J200">
    <cfRule type="expression" priority="1" dxfId="1">
      <formula>$B2="Onaylandı"</formula>
    </cfRule>
    <cfRule type="expression" priority="2" dxfId="0">
      <formula>$B2="Revizyon İstendi"</formula>
    </cfRule>
    <cfRule type="expression" priority="3" dxfId="2">
      <formula>$B2="Onay Bekliyor"</formula>
    </cfRule>
  </conditionalFormatting>
  <dataValidations count="3">
    <dataValidation sqref="B2:B200" showDropDown="0" showInputMessage="0" showErrorMessage="0" allowBlank="1" type="list">
      <formula1>=Listeler!$B$2:$B$5</formula1>
    </dataValidation>
    <dataValidation sqref="H2:H200" showDropDown="0" showInputMessage="0" showErrorMessage="0" allowBlank="1" type="list">
      <formula1>=Listeler!$G$2:$G$4</formula1>
    </dataValidation>
    <dataValidation sqref="I2:I200" showDropDown="0" showInputMessage="0" showErrorMessage="0" allowBlank="1" type="list">
      <formula1>=Listeler!$G$2:$G$4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8" customWidth="1" min="4" max="4"/>
    <col width="18" customWidth="1" min="5" max="5"/>
    <col width="16" customWidth="1" min="6" max="6"/>
    <col width="16" customWidth="1" min="7" max="7"/>
    <col width="24" customWidth="1" min="8" max="8"/>
    <col width="12" customWidth="1" min="9" max="9"/>
    <col width="14" customWidth="1" min="10" max="10"/>
    <col width="24" customWidth="1" min="11" max="11"/>
  </cols>
  <sheetData>
    <row r="1">
      <c r="A1" s="8" t="inlineStr">
        <is>
          <t>Proje Kodu</t>
        </is>
      </c>
      <c r="B1" s="8" t="inlineStr">
        <is>
          <t>Gövde</t>
        </is>
      </c>
      <c r="C1" s="8" t="inlineStr">
        <is>
          <t>Alt Parça</t>
        </is>
      </c>
      <c r="D1" s="8" t="inlineStr">
        <is>
          <t>Adet</t>
        </is>
      </c>
      <c r="E1" s="8" t="inlineStr">
        <is>
          <t>Ölçü / Kapasite</t>
        </is>
      </c>
      <c r="F1" s="8" t="inlineStr">
        <is>
          <t>Malzeme Cinsi</t>
        </is>
      </c>
      <c r="G1" s="8" t="inlineStr">
        <is>
          <t>Malzeme Kalitesi</t>
        </is>
      </c>
      <c r="H1" s="8" t="inlineStr">
        <is>
          <t>Amaç</t>
        </is>
      </c>
      <c r="I1" s="8" t="inlineStr">
        <is>
          <t>Termin</t>
        </is>
      </c>
      <c r="J1" s="8" t="inlineStr">
        <is>
          <t>Üretim Termini</t>
        </is>
      </c>
      <c r="K1" s="8" t="inlineStr">
        <is>
          <t>Not</t>
        </is>
      </c>
    </row>
    <row r="2">
      <c r="A2" s="6" t="inlineStr">
        <is>
          <t>ARS-2026-001-D</t>
        </is>
      </c>
      <c r="B2" s="6" t="inlineStr">
        <is>
          <t>Gaz Rezerv</t>
        </is>
      </c>
      <c r="C2" s="6" t="inlineStr">
        <is>
          <t>CO₂ Gaz Tankı Gövde</t>
        </is>
      </c>
      <c r="D2" s="6" t="n">
        <v>1</v>
      </c>
      <c r="E2" s="6" t="inlineStr">
        <is>
          <t>500 L</t>
        </is>
      </c>
      <c r="F2" s="6" t="inlineStr">
        <is>
          <t>Paslanmaz Çelik</t>
        </is>
      </c>
      <c r="G2" s="6" t="inlineStr">
        <is>
          <t>316L</t>
        </is>
      </c>
      <c r="H2" s="6" t="n"/>
      <c r="I2" s="11" t="n"/>
      <c r="J2" s="11" t="n"/>
      <c r="K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11" t="n"/>
      <c r="J3" s="11" t="n"/>
      <c r="K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11" t="n"/>
      <c r="J4" s="11" t="n"/>
      <c r="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11" t="n"/>
      <c r="J5" s="11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11" t="n"/>
      <c r="J6" s="11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11" t="n"/>
      <c r="J7" s="11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11" t="n"/>
      <c r="J8" s="11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11" t="n"/>
      <c r="J9" s="11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11" t="n"/>
      <c r="J10" s="11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11" t="n"/>
      <c r="J11" s="11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11" t="n"/>
      <c r="J12" s="11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11" t="n"/>
      <c r="J13" s="11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11" t="n"/>
      <c r="J14" s="11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11" t="n"/>
      <c r="J15" s="11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11" t="n"/>
      <c r="J16" s="11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11" t="n"/>
      <c r="J17" s="11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11" t="n"/>
      <c r="J18" s="11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11" t="n"/>
      <c r="J19" s="11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11" t="n"/>
      <c r="J20" s="11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11" t="n"/>
      <c r="J21" s="11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11" t="n"/>
      <c r="J22" s="11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11" t="n"/>
      <c r="J23" s="11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11" t="n"/>
      <c r="J24" s="11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11" t="n"/>
      <c r="J25" s="11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11" t="n"/>
      <c r="J26" s="11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11" t="n"/>
      <c r="J27" s="11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11" t="n"/>
      <c r="J28" s="11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11" t="n"/>
      <c r="J29" s="11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11" t="n"/>
      <c r="J30" s="11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11" t="n"/>
      <c r="J31" s="11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11" t="n"/>
      <c r="J32" s="11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11" t="n"/>
      <c r="J33" s="11" t="n"/>
      <c r="K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11" t="n"/>
      <c r="J34" s="11" t="n"/>
      <c r="K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11" t="n"/>
      <c r="J35" s="11" t="n"/>
      <c r="K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11" t="n"/>
      <c r="J36" s="11" t="n"/>
      <c r="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11" t="n"/>
      <c r="J37" s="11" t="n"/>
      <c r="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11" t="n"/>
      <c r="J38" s="11" t="n"/>
      <c r="K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11" t="n"/>
      <c r="J39" s="11" t="n"/>
      <c r="K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11" t="n"/>
      <c r="J40" s="11" t="n"/>
      <c r="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11" t="n"/>
      <c r="J41" s="11" t="n"/>
      <c r="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11" t="n"/>
      <c r="J42" s="11" t="n"/>
      <c r="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11" t="n"/>
      <c r="J43" s="11" t="n"/>
      <c r="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11" t="n"/>
      <c r="J44" s="11" t="n"/>
      <c r="K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11" t="n"/>
      <c r="J45" s="11" t="n"/>
      <c r="K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11" t="n"/>
      <c r="J46" s="11" t="n"/>
      <c r="K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11" t="n"/>
      <c r="J47" s="11" t="n"/>
      <c r="K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11" t="n"/>
      <c r="J48" s="11" t="n"/>
      <c r="K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11" t="n"/>
      <c r="J49" s="11" t="n"/>
      <c r="K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11" t="n"/>
      <c r="J50" s="11" t="n"/>
      <c r="K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11" t="n"/>
      <c r="J51" s="11" t="n"/>
      <c r="K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11" t="n"/>
      <c r="J52" s="11" t="n"/>
      <c r="K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11" t="n"/>
      <c r="J53" s="11" t="n"/>
      <c r="K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11" t="n"/>
      <c r="J54" s="11" t="n"/>
      <c r="K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11" t="n"/>
      <c r="J55" s="11" t="n"/>
      <c r="K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11" t="n"/>
      <c r="J56" s="11" t="n"/>
      <c r="K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11" t="n"/>
      <c r="J57" s="11" t="n"/>
      <c r="K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11" t="n"/>
      <c r="J58" s="11" t="n"/>
      <c r="K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11" t="n"/>
      <c r="J59" s="11" t="n"/>
      <c r="K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11" t="n"/>
      <c r="J60" s="11" t="n"/>
      <c r="K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11" t="n"/>
      <c r="J61" s="11" t="n"/>
      <c r="K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11" t="n"/>
      <c r="J62" s="11" t="n"/>
      <c r="K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11" t="n"/>
      <c r="J63" s="11" t="n"/>
      <c r="K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11" t="n"/>
      <c r="J64" s="11" t="n"/>
      <c r="K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11" t="n"/>
      <c r="J65" s="11" t="n"/>
      <c r="K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11" t="n"/>
      <c r="J66" s="11" t="n"/>
      <c r="K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11" t="n"/>
      <c r="J67" s="11" t="n"/>
      <c r="K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11" t="n"/>
      <c r="J68" s="11" t="n"/>
      <c r="K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11" t="n"/>
      <c r="J69" s="11" t="n"/>
      <c r="K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11" t="n"/>
      <c r="J70" s="11" t="n"/>
      <c r="K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11" t="n"/>
      <c r="J71" s="11" t="n"/>
      <c r="K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11" t="n"/>
      <c r="J72" s="11" t="n"/>
      <c r="K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11" t="n"/>
      <c r="J73" s="11" t="n"/>
      <c r="K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11" t="n"/>
      <c r="J74" s="11" t="n"/>
      <c r="K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11" t="n"/>
      <c r="J75" s="11" t="n"/>
      <c r="K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11" t="n"/>
      <c r="J76" s="11" t="n"/>
      <c r="K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11" t="n"/>
      <c r="J77" s="11" t="n"/>
      <c r="K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11" t="n"/>
      <c r="J78" s="11" t="n"/>
      <c r="K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11" t="n"/>
      <c r="J79" s="11" t="n"/>
      <c r="K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11" t="n"/>
      <c r="J80" s="11" t="n"/>
      <c r="K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11" t="n"/>
      <c r="J81" s="11" t="n"/>
      <c r="K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11" t="n"/>
      <c r="J82" s="11" t="n"/>
      <c r="K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11" t="n"/>
      <c r="J83" s="11" t="n"/>
      <c r="K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11" t="n"/>
      <c r="J84" s="11" t="n"/>
      <c r="K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11" t="n"/>
      <c r="J85" s="11" t="n"/>
      <c r="K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11" t="n"/>
      <c r="J86" s="11" t="n"/>
      <c r="K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11" t="n"/>
      <c r="J87" s="11" t="n"/>
      <c r="K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11" t="n"/>
      <c r="J88" s="11" t="n"/>
      <c r="K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11" t="n"/>
      <c r="J89" s="11" t="n"/>
      <c r="K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11" t="n"/>
      <c r="J90" s="11" t="n"/>
      <c r="K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11" t="n"/>
      <c r="J91" s="11" t="n"/>
      <c r="K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11" t="n"/>
      <c r="J92" s="11" t="n"/>
      <c r="K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11" t="n"/>
      <c r="J93" s="11" t="n"/>
      <c r="K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11" t="n"/>
      <c r="J94" s="11" t="n"/>
      <c r="K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11" t="n"/>
      <c r="J95" s="11" t="n"/>
      <c r="K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11" t="n"/>
      <c r="J96" s="11" t="n"/>
      <c r="K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11" t="n"/>
      <c r="J97" s="11" t="n"/>
      <c r="K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11" t="n"/>
      <c r="J98" s="11" t="n"/>
      <c r="K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11" t="n"/>
      <c r="J99" s="11" t="n"/>
      <c r="K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11" t="n"/>
      <c r="J100" s="11" t="n"/>
      <c r="K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11" t="n"/>
      <c r="J101" s="11" t="n"/>
      <c r="K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11" t="n"/>
      <c r="J102" s="11" t="n"/>
      <c r="K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11" t="n"/>
      <c r="J103" s="11" t="n"/>
      <c r="K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11" t="n"/>
      <c r="J104" s="11" t="n"/>
      <c r="K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11" t="n"/>
      <c r="J105" s="11" t="n"/>
      <c r="K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11" t="n"/>
      <c r="J106" s="11" t="n"/>
      <c r="K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11" t="n"/>
      <c r="J107" s="11" t="n"/>
      <c r="K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11" t="n"/>
      <c r="J108" s="11" t="n"/>
      <c r="K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11" t="n"/>
      <c r="J109" s="11" t="n"/>
      <c r="K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11" t="n"/>
      <c r="J110" s="11" t="n"/>
      <c r="K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11" t="n"/>
      <c r="J111" s="11" t="n"/>
      <c r="K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11" t="n"/>
      <c r="J112" s="11" t="n"/>
      <c r="K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11" t="n"/>
      <c r="J113" s="11" t="n"/>
      <c r="K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11" t="n"/>
      <c r="J114" s="11" t="n"/>
      <c r="K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11" t="n"/>
      <c r="J115" s="11" t="n"/>
      <c r="K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11" t="n"/>
      <c r="J116" s="11" t="n"/>
      <c r="K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11" t="n"/>
      <c r="J117" s="11" t="n"/>
      <c r="K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11" t="n"/>
      <c r="J118" s="11" t="n"/>
      <c r="K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11" t="n"/>
      <c r="J119" s="11" t="n"/>
      <c r="K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11" t="n"/>
      <c r="J120" s="11" t="n"/>
      <c r="K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11" t="n"/>
      <c r="J121" s="11" t="n"/>
      <c r="K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11" t="n"/>
      <c r="J122" s="11" t="n"/>
      <c r="K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11" t="n"/>
      <c r="J123" s="11" t="n"/>
      <c r="K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11" t="n"/>
      <c r="J124" s="11" t="n"/>
      <c r="K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11" t="n"/>
      <c r="J125" s="11" t="n"/>
      <c r="K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11" t="n"/>
      <c r="J126" s="11" t="n"/>
      <c r="K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11" t="n"/>
      <c r="J127" s="11" t="n"/>
      <c r="K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11" t="n"/>
      <c r="J128" s="11" t="n"/>
      <c r="K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11" t="n"/>
      <c r="J129" s="11" t="n"/>
      <c r="K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11" t="n"/>
      <c r="J130" s="11" t="n"/>
      <c r="K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11" t="n"/>
      <c r="J131" s="11" t="n"/>
      <c r="K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11" t="n"/>
      <c r="J132" s="11" t="n"/>
      <c r="K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11" t="n"/>
      <c r="J133" s="11" t="n"/>
      <c r="K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11" t="n"/>
      <c r="J134" s="11" t="n"/>
      <c r="K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11" t="n"/>
      <c r="J135" s="11" t="n"/>
      <c r="K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11" t="n"/>
      <c r="J136" s="11" t="n"/>
      <c r="K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11" t="n"/>
      <c r="J137" s="11" t="n"/>
      <c r="K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11" t="n"/>
      <c r="J138" s="11" t="n"/>
      <c r="K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11" t="n"/>
      <c r="J139" s="11" t="n"/>
      <c r="K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11" t="n"/>
      <c r="J140" s="11" t="n"/>
      <c r="K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11" t="n"/>
      <c r="J141" s="11" t="n"/>
      <c r="K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11" t="n"/>
      <c r="J142" s="11" t="n"/>
      <c r="K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11" t="n"/>
      <c r="J143" s="11" t="n"/>
      <c r="K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11" t="n"/>
      <c r="J144" s="11" t="n"/>
      <c r="K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11" t="n"/>
      <c r="J145" s="11" t="n"/>
      <c r="K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11" t="n"/>
      <c r="J146" s="11" t="n"/>
      <c r="K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11" t="n"/>
      <c r="J147" s="11" t="n"/>
      <c r="K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11" t="n"/>
      <c r="J148" s="11" t="n"/>
      <c r="K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11" t="n"/>
      <c r="J149" s="11" t="n"/>
      <c r="K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11" t="n"/>
      <c r="J150" s="11" t="n"/>
      <c r="K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11" t="n"/>
      <c r="J151" s="11" t="n"/>
      <c r="K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11" t="n"/>
      <c r="J152" s="11" t="n"/>
      <c r="K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11" t="n"/>
      <c r="J153" s="11" t="n"/>
      <c r="K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11" t="n"/>
      <c r="J154" s="11" t="n"/>
      <c r="K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11" t="n"/>
      <c r="J155" s="11" t="n"/>
      <c r="K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11" t="n"/>
      <c r="J156" s="11" t="n"/>
      <c r="K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11" t="n"/>
      <c r="J157" s="11" t="n"/>
      <c r="K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11" t="n"/>
      <c r="J158" s="11" t="n"/>
      <c r="K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11" t="n"/>
      <c r="J159" s="11" t="n"/>
      <c r="K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11" t="n"/>
      <c r="J160" s="11" t="n"/>
      <c r="K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11" t="n"/>
      <c r="J161" s="11" t="n"/>
      <c r="K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11" t="n"/>
      <c r="J162" s="11" t="n"/>
      <c r="K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11" t="n"/>
      <c r="J163" s="11" t="n"/>
      <c r="K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11" t="n"/>
      <c r="J164" s="11" t="n"/>
      <c r="K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11" t="n"/>
      <c r="J165" s="11" t="n"/>
      <c r="K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11" t="n"/>
      <c r="J166" s="11" t="n"/>
      <c r="K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11" t="n"/>
      <c r="J167" s="11" t="n"/>
      <c r="K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11" t="n"/>
      <c r="J168" s="11" t="n"/>
      <c r="K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11" t="n"/>
      <c r="J169" s="11" t="n"/>
      <c r="K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11" t="n"/>
      <c r="J170" s="11" t="n"/>
      <c r="K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11" t="n"/>
      <c r="J171" s="11" t="n"/>
      <c r="K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11" t="n"/>
      <c r="J172" s="11" t="n"/>
      <c r="K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11" t="n"/>
      <c r="J173" s="11" t="n"/>
      <c r="K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11" t="n"/>
      <c r="J174" s="11" t="n"/>
      <c r="K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11" t="n"/>
      <c r="J175" s="11" t="n"/>
      <c r="K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11" t="n"/>
      <c r="J176" s="11" t="n"/>
      <c r="K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11" t="n"/>
      <c r="J177" s="11" t="n"/>
      <c r="K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11" t="n"/>
      <c r="J178" s="11" t="n"/>
      <c r="K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11" t="n"/>
      <c r="J179" s="11" t="n"/>
      <c r="K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11" t="n"/>
      <c r="J180" s="11" t="n"/>
      <c r="K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11" t="n"/>
      <c r="J181" s="11" t="n"/>
      <c r="K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11" t="n"/>
      <c r="J182" s="11" t="n"/>
      <c r="K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11" t="n"/>
      <c r="J183" s="11" t="n"/>
      <c r="K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11" t="n"/>
      <c r="J184" s="11" t="n"/>
      <c r="K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11" t="n"/>
      <c r="J185" s="11" t="n"/>
      <c r="K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11" t="n"/>
      <c r="J186" s="11" t="n"/>
      <c r="K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11" t="n"/>
      <c r="J187" s="11" t="n"/>
      <c r="K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11" t="n"/>
      <c r="J188" s="11" t="n"/>
      <c r="K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11" t="n"/>
      <c r="J189" s="11" t="n"/>
      <c r="K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11" t="n"/>
      <c r="J190" s="11" t="n"/>
      <c r="K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11" t="n"/>
      <c r="J191" s="11" t="n"/>
      <c r="K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11" t="n"/>
      <c r="J192" s="11" t="n"/>
      <c r="K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11" t="n"/>
      <c r="J193" s="11" t="n"/>
      <c r="K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11" t="n"/>
      <c r="J194" s="11" t="n"/>
      <c r="K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11" t="n"/>
      <c r="J195" s="11" t="n"/>
      <c r="K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11" t="n"/>
      <c r="J196" s="11" t="n"/>
      <c r="K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11" t="n"/>
      <c r="J197" s="11" t="n"/>
      <c r="K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11" t="n"/>
      <c r="J198" s="11" t="n"/>
      <c r="K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11" t="n"/>
      <c r="J199" s="11" t="n"/>
      <c r="K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11" t="n"/>
      <c r="J200" s="11" t="n"/>
      <c r="K200" s="6" t="n"/>
    </row>
  </sheetData>
  <dataValidations count="1">
    <dataValidation sqref="B2:B200" showDropDown="0" showInputMessage="0" showErrorMessage="0" allowBlank="1" type="list">
      <formula1>=Listeler!$F$2:$F$18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0" customWidth="1" min="9" max="9"/>
    <col width="16" customWidth="1" min="10" max="10"/>
    <col width="10" customWidth="1" min="11" max="11"/>
    <col width="20" customWidth="1" min="12" max="12"/>
    <col width="13" customWidth="1" min="13" max="13"/>
    <col width="13" customWidth="1" min="14" max="14"/>
    <col width="12" customWidth="1" min="15" max="15"/>
    <col width="15" customWidth="1" min="16" max="16"/>
    <col width="22" customWidth="1" min="17" max="17"/>
  </cols>
  <sheetData>
    <row r="1">
      <c r="A1" s="8" t="inlineStr">
        <is>
          <t>Proje Kodu</t>
        </is>
      </c>
      <c r="B1" s="8" t="inlineStr">
        <is>
          <t>Alt Parça</t>
        </is>
      </c>
      <c r="C1" s="8" t="inlineStr">
        <is>
          <t>Tedarikçi</t>
        </is>
      </c>
      <c r="D1" s="8" t="inlineStr">
        <is>
          <t>Fiyat</t>
        </is>
      </c>
      <c r="E1" s="8" t="inlineStr">
        <is>
          <t>Para Birimi</t>
        </is>
      </c>
      <c r="F1" s="8" t="inlineStr">
        <is>
          <t>Termin</t>
        </is>
      </c>
      <c r="G1" s="8" t="inlineStr">
        <is>
          <t>Ödeme</t>
        </is>
      </c>
      <c r="H1" s="8" t="inlineStr">
        <is>
          <t>Teslimat</t>
        </is>
      </c>
      <c r="I1" s="8" t="inlineStr">
        <is>
          <t>Kazanan?</t>
        </is>
      </c>
      <c r="J1" s="8" t="inlineStr">
        <is>
          <t>Tedarikçi Kümülatif</t>
        </is>
      </c>
      <c r="K1" s="8" t="inlineStr">
        <is>
          <t>Eşik</t>
        </is>
      </c>
      <c r="L1" s="8" t="inlineStr">
        <is>
          <t>Arşen Onayı Gerekli mi?</t>
        </is>
      </c>
      <c r="M1" s="8" t="inlineStr">
        <is>
          <t>Onay Durumu</t>
        </is>
      </c>
      <c r="N1" s="8" t="inlineStr">
        <is>
          <t>Onaylayan</t>
        </is>
      </c>
      <c r="O1" s="8" t="inlineStr">
        <is>
          <t>Onay Tarihi</t>
        </is>
      </c>
      <c r="P1" s="8" t="inlineStr">
        <is>
          <t>Sipariş Durumu</t>
        </is>
      </c>
      <c r="Q1" s="8" t="inlineStr">
        <is>
          <t>Not</t>
        </is>
      </c>
    </row>
    <row r="2">
      <c r="A2" s="6" t="inlineStr">
        <is>
          <t>ARS-2026-001-D</t>
        </is>
      </c>
      <c r="B2" s="6" t="inlineStr">
        <is>
          <t>CO₂ Gaz Tankı Gövde</t>
        </is>
      </c>
      <c r="C2" s="6" t="inlineStr">
        <is>
          <t>Örnek Tedarikçi</t>
        </is>
      </c>
      <c r="D2" s="6" t="n">
        <v>4500</v>
      </c>
      <c r="E2" s="6" t="inlineStr">
        <is>
          <t>EUR</t>
        </is>
      </c>
      <c r="F2" s="11" t="n">
        <v>46280</v>
      </c>
      <c r="G2" s="6" t="n"/>
      <c r="H2" s="6" t="n"/>
      <c r="I2" s="6" t="inlineStr">
        <is>
          <t>Evet</t>
        </is>
      </c>
      <c r="J2" s="6">
        <f>IF(OR($C2="",$I2&lt;&gt;"Evet"),"",SUMIFS($D$2:$D$300,$A$2:$A$300,$A2,$C$2:$C$300,$C2,$E$2:$E$300,$E2,$I$2:$I$300,"Evet"))</f>
        <v/>
      </c>
      <c r="K2" s="6">
        <f>IF($E2="","",VLOOKUP($E2,Listeler!$I$2:$J$4,2,0))</f>
        <v/>
      </c>
      <c r="L2" s="6">
        <f>IF($J2="","",IF($J2&gt;$K2,"ARŞEN ONAYI GEREKLİ","Doğrudan geçer"))</f>
        <v/>
      </c>
      <c r="M2" s="6" t="inlineStr">
        <is>
          <t>bekliyor</t>
        </is>
      </c>
      <c r="N2" s="6" t="n"/>
      <c r="O2" s="11" t="n"/>
      <c r="P2" s="6" t="n"/>
      <c r="Q2" s="6" t="n"/>
    </row>
    <row r="3">
      <c r="A3" s="6" t="n"/>
      <c r="B3" s="6" t="n"/>
      <c r="C3" s="6" t="n"/>
      <c r="D3" s="6" t="n"/>
      <c r="E3" s="6" t="n"/>
      <c r="F3" s="11" t="n"/>
      <c r="G3" s="6" t="n"/>
      <c r="H3" s="6" t="n"/>
      <c r="I3" s="6" t="n"/>
      <c r="J3" s="6">
        <f>IF(OR($C3="",$I3&lt;&gt;"Evet"),"",SUMIFS($D$2:$D$300,$A$2:$A$300,$A3,$C$2:$C$300,$C3,$E$2:$E$300,$E3,$I$2:$I$300,"Evet"))</f>
        <v/>
      </c>
      <c r="K3" s="6">
        <f>IF($E3="","",VLOOKUP($E3,Listeler!$I$2:$J$4,2,0))</f>
        <v/>
      </c>
      <c r="L3" s="6">
        <f>IF($J3="","",IF($J3&gt;$K3,"ARŞEN ONAYI GEREKLİ","Doğrudan geçer"))</f>
        <v/>
      </c>
      <c r="M3" s="6" t="n"/>
      <c r="N3" s="6" t="n"/>
      <c r="O3" s="11" t="n"/>
      <c r="P3" s="6" t="n"/>
      <c r="Q3" s="6" t="n"/>
    </row>
    <row r="4">
      <c r="A4" s="6" t="n"/>
      <c r="B4" s="6" t="n"/>
      <c r="C4" s="6" t="n"/>
      <c r="D4" s="6" t="n"/>
      <c r="E4" s="6" t="n"/>
      <c r="F4" s="11" t="n"/>
      <c r="G4" s="6" t="n"/>
      <c r="H4" s="6" t="n"/>
      <c r="I4" s="6" t="n"/>
      <c r="J4" s="6">
        <f>IF(OR($C4="",$I4&lt;&gt;"Evet"),"",SUMIFS($D$2:$D$300,$A$2:$A$300,$A4,$C$2:$C$300,$C4,$E$2:$E$300,$E4,$I$2:$I$300,"Evet"))</f>
        <v/>
      </c>
      <c r="K4" s="6">
        <f>IF($E4="","",VLOOKUP($E4,Listeler!$I$2:$J$4,2,0))</f>
        <v/>
      </c>
      <c r="L4" s="6">
        <f>IF($J4="","",IF($J4&gt;$K4,"ARŞEN ONAYI GEREKLİ","Doğrudan geçer"))</f>
        <v/>
      </c>
      <c r="M4" s="6" t="n"/>
      <c r="N4" s="6" t="n"/>
      <c r="O4" s="11" t="n"/>
      <c r="P4" s="6" t="n"/>
      <c r="Q4" s="6" t="n"/>
    </row>
    <row r="5">
      <c r="A5" s="6" t="n"/>
      <c r="B5" s="6" t="n"/>
      <c r="C5" s="6" t="n"/>
      <c r="D5" s="6" t="n"/>
      <c r="E5" s="6" t="n"/>
      <c r="F5" s="11" t="n"/>
      <c r="G5" s="6" t="n"/>
      <c r="H5" s="6" t="n"/>
      <c r="I5" s="6" t="n"/>
      <c r="J5" s="6">
        <f>IF(OR($C5="",$I5&lt;&gt;"Evet"),"",SUMIFS($D$2:$D$300,$A$2:$A$300,$A5,$C$2:$C$300,$C5,$E$2:$E$300,$E5,$I$2:$I$300,"Evet"))</f>
        <v/>
      </c>
      <c r="K5" s="6">
        <f>IF($E5="","",VLOOKUP($E5,Listeler!$I$2:$J$4,2,0))</f>
        <v/>
      </c>
      <c r="L5" s="6">
        <f>IF($J5="","",IF($J5&gt;$K5,"ARŞEN ONAYI GEREKLİ","Doğrudan geçer"))</f>
        <v/>
      </c>
      <c r="M5" s="6" t="n"/>
      <c r="N5" s="6" t="n"/>
      <c r="O5" s="11" t="n"/>
      <c r="P5" s="6" t="n"/>
      <c r="Q5" s="6" t="n"/>
    </row>
    <row r="6">
      <c r="A6" s="6" t="n"/>
      <c r="B6" s="6" t="n"/>
      <c r="C6" s="6" t="n"/>
      <c r="D6" s="6" t="n"/>
      <c r="E6" s="6" t="n"/>
      <c r="F6" s="11" t="n"/>
      <c r="G6" s="6" t="n"/>
      <c r="H6" s="6" t="n"/>
      <c r="I6" s="6" t="n"/>
      <c r="J6" s="6">
        <f>IF(OR($C6="",$I6&lt;&gt;"Evet"),"",SUMIFS($D$2:$D$300,$A$2:$A$300,$A6,$C$2:$C$300,$C6,$E$2:$E$300,$E6,$I$2:$I$300,"Evet"))</f>
        <v/>
      </c>
      <c r="K6" s="6">
        <f>IF($E6="","",VLOOKUP($E6,Listeler!$I$2:$J$4,2,0))</f>
        <v/>
      </c>
      <c r="L6" s="6">
        <f>IF($J6="","",IF($J6&gt;$K6,"ARŞEN ONAYI GEREKLİ","Doğrudan geçer"))</f>
        <v/>
      </c>
      <c r="M6" s="6" t="n"/>
      <c r="N6" s="6" t="n"/>
      <c r="O6" s="11" t="n"/>
      <c r="P6" s="6" t="n"/>
      <c r="Q6" s="6" t="n"/>
    </row>
    <row r="7">
      <c r="A7" s="6" t="n"/>
      <c r="B7" s="6" t="n"/>
      <c r="C7" s="6" t="n"/>
      <c r="D7" s="6" t="n"/>
      <c r="E7" s="6" t="n"/>
      <c r="F7" s="11" t="n"/>
      <c r="G7" s="6" t="n"/>
      <c r="H7" s="6" t="n"/>
      <c r="I7" s="6" t="n"/>
      <c r="J7" s="6">
        <f>IF(OR($C7="",$I7&lt;&gt;"Evet"),"",SUMIFS($D$2:$D$300,$A$2:$A$300,$A7,$C$2:$C$300,$C7,$E$2:$E$300,$E7,$I$2:$I$300,"Evet"))</f>
        <v/>
      </c>
      <c r="K7" s="6">
        <f>IF($E7="","",VLOOKUP($E7,Listeler!$I$2:$J$4,2,0))</f>
        <v/>
      </c>
      <c r="L7" s="6">
        <f>IF($J7="","",IF($J7&gt;$K7,"ARŞEN ONAYI GEREKLİ","Doğrudan geçer"))</f>
        <v/>
      </c>
      <c r="M7" s="6" t="n"/>
      <c r="N7" s="6" t="n"/>
      <c r="O7" s="11" t="n"/>
      <c r="P7" s="6" t="n"/>
      <c r="Q7" s="6" t="n"/>
    </row>
    <row r="8">
      <c r="A8" s="6" t="n"/>
      <c r="B8" s="6" t="n"/>
      <c r="C8" s="6" t="n"/>
      <c r="D8" s="6" t="n"/>
      <c r="E8" s="6" t="n"/>
      <c r="F8" s="11" t="n"/>
      <c r="G8" s="6" t="n"/>
      <c r="H8" s="6" t="n"/>
      <c r="I8" s="6" t="n"/>
      <c r="J8" s="6">
        <f>IF(OR($C8="",$I8&lt;&gt;"Evet"),"",SUMIFS($D$2:$D$300,$A$2:$A$300,$A8,$C$2:$C$300,$C8,$E$2:$E$300,$E8,$I$2:$I$300,"Evet"))</f>
        <v/>
      </c>
      <c r="K8" s="6">
        <f>IF($E8="","",VLOOKUP($E8,Listeler!$I$2:$J$4,2,0))</f>
        <v/>
      </c>
      <c r="L8" s="6">
        <f>IF($J8="","",IF($J8&gt;$K8,"ARŞEN ONAYI GEREKLİ","Doğrudan geçer"))</f>
        <v/>
      </c>
      <c r="M8" s="6" t="n"/>
      <c r="N8" s="6" t="n"/>
      <c r="O8" s="11" t="n"/>
      <c r="P8" s="6" t="n"/>
      <c r="Q8" s="6" t="n"/>
    </row>
    <row r="9">
      <c r="A9" s="6" t="n"/>
      <c r="B9" s="6" t="n"/>
      <c r="C9" s="6" t="n"/>
      <c r="D9" s="6" t="n"/>
      <c r="E9" s="6" t="n"/>
      <c r="F9" s="11" t="n"/>
      <c r="G9" s="6" t="n"/>
      <c r="H9" s="6" t="n"/>
      <c r="I9" s="6" t="n"/>
      <c r="J9" s="6">
        <f>IF(OR($C9="",$I9&lt;&gt;"Evet"),"",SUMIFS($D$2:$D$300,$A$2:$A$300,$A9,$C$2:$C$300,$C9,$E$2:$E$300,$E9,$I$2:$I$300,"Evet"))</f>
        <v/>
      </c>
      <c r="K9" s="6">
        <f>IF($E9="","",VLOOKUP($E9,Listeler!$I$2:$J$4,2,0))</f>
        <v/>
      </c>
      <c r="L9" s="6">
        <f>IF($J9="","",IF($J9&gt;$K9,"ARŞEN ONAYI GEREKLİ","Doğrudan geçer"))</f>
        <v/>
      </c>
      <c r="M9" s="6" t="n"/>
      <c r="N9" s="6" t="n"/>
      <c r="O9" s="11" t="n"/>
      <c r="P9" s="6" t="n"/>
      <c r="Q9" s="6" t="n"/>
    </row>
    <row r="10">
      <c r="A10" s="6" t="n"/>
      <c r="B10" s="6" t="n"/>
      <c r="C10" s="6" t="n"/>
      <c r="D10" s="6" t="n"/>
      <c r="E10" s="6" t="n"/>
      <c r="F10" s="11" t="n"/>
      <c r="G10" s="6" t="n"/>
      <c r="H10" s="6" t="n"/>
      <c r="I10" s="6" t="n"/>
      <c r="J10" s="6">
        <f>IF(OR($C10="",$I10&lt;&gt;"Evet"),"",SUMIFS($D$2:$D$300,$A$2:$A$300,$A10,$C$2:$C$300,$C10,$E$2:$E$300,$E10,$I$2:$I$300,"Evet"))</f>
        <v/>
      </c>
      <c r="K10" s="6">
        <f>IF($E10="","",VLOOKUP($E10,Listeler!$I$2:$J$4,2,0))</f>
        <v/>
      </c>
      <c r="L10" s="6">
        <f>IF($J10="","",IF($J10&gt;$K10,"ARŞEN ONAYI GEREKLİ","Doğrudan geçer"))</f>
        <v/>
      </c>
      <c r="M10" s="6" t="n"/>
      <c r="N10" s="6" t="n"/>
      <c r="O10" s="11" t="n"/>
      <c r="P10" s="6" t="n"/>
      <c r="Q10" s="6" t="n"/>
    </row>
    <row r="11">
      <c r="A11" s="6" t="n"/>
      <c r="B11" s="6" t="n"/>
      <c r="C11" s="6" t="n"/>
      <c r="D11" s="6" t="n"/>
      <c r="E11" s="6" t="n"/>
      <c r="F11" s="11" t="n"/>
      <c r="G11" s="6" t="n"/>
      <c r="H11" s="6" t="n"/>
      <c r="I11" s="6" t="n"/>
      <c r="J11" s="6">
        <f>IF(OR($C11="",$I11&lt;&gt;"Evet"),"",SUMIFS($D$2:$D$300,$A$2:$A$300,$A11,$C$2:$C$300,$C11,$E$2:$E$300,$E11,$I$2:$I$300,"Evet"))</f>
        <v/>
      </c>
      <c r="K11" s="6">
        <f>IF($E11="","",VLOOKUP($E11,Listeler!$I$2:$J$4,2,0))</f>
        <v/>
      </c>
      <c r="L11" s="6">
        <f>IF($J11="","",IF($J11&gt;$K11,"ARŞEN ONAYI GEREKLİ","Doğrudan geçer"))</f>
        <v/>
      </c>
      <c r="M11" s="6" t="n"/>
      <c r="N11" s="6" t="n"/>
      <c r="O11" s="11" t="n"/>
      <c r="P11" s="6" t="n"/>
      <c r="Q11" s="6" t="n"/>
    </row>
    <row r="12">
      <c r="A12" s="6" t="n"/>
      <c r="B12" s="6" t="n"/>
      <c r="C12" s="6" t="n"/>
      <c r="D12" s="6" t="n"/>
      <c r="E12" s="6" t="n"/>
      <c r="F12" s="11" t="n"/>
      <c r="G12" s="6" t="n"/>
      <c r="H12" s="6" t="n"/>
      <c r="I12" s="6" t="n"/>
      <c r="J12" s="6">
        <f>IF(OR($C12="",$I12&lt;&gt;"Evet"),"",SUMIFS($D$2:$D$300,$A$2:$A$300,$A12,$C$2:$C$300,$C12,$E$2:$E$300,$E12,$I$2:$I$300,"Evet"))</f>
        <v/>
      </c>
      <c r="K12" s="6">
        <f>IF($E12="","",VLOOKUP($E12,Listeler!$I$2:$J$4,2,0))</f>
        <v/>
      </c>
      <c r="L12" s="6">
        <f>IF($J12="","",IF($J12&gt;$K12,"ARŞEN ONAYI GEREKLİ","Doğrudan geçer"))</f>
        <v/>
      </c>
      <c r="M12" s="6" t="n"/>
      <c r="N12" s="6" t="n"/>
      <c r="O12" s="11" t="n"/>
      <c r="P12" s="6" t="n"/>
      <c r="Q12" s="6" t="n"/>
    </row>
    <row r="13">
      <c r="A13" s="6" t="n"/>
      <c r="B13" s="6" t="n"/>
      <c r="C13" s="6" t="n"/>
      <c r="D13" s="6" t="n"/>
      <c r="E13" s="6" t="n"/>
      <c r="F13" s="11" t="n"/>
      <c r="G13" s="6" t="n"/>
      <c r="H13" s="6" t="n"/>
      <c r="I13" s="6" t="n"/>
      <c r="J13" s="6">
        <f>IF(OR($C13="",$I13&lt;&gt;"Evet"),"",SUMIFS($D$2:$D$300,$A$2:$A$300,$A13,$C$2:$C$300,$C13,$E$2:$E$300,$E13,$I$2:$I$300,"Evet"))</f>
        <v/>
      </c>
      <c r="K13" s="6">
        <f>IF($E13="","",VLOOKUP($E13,Listeler!$I$2:$J$4,2,0))</f>
        <v/>
      </c>
      <c r="L13" s="6">
        <f>IF($J13="","",IF($J13&gt;$K13,"ARŞEN ONAYI GEREKLİ","Doğrudan geçer"))</f>
        <v/>
      </c>
      <c r="M13" s="6" t="n"/>
      <c r="N13" s="6" t="n"/>
      <c r="O13" s="11" t="n"/>
      <c r="P13" s="6" t="n"/>
      <c r="Q13" s="6" t="n"/>
    </row>
    <row r="14">
      <c r="A14" s="6" t="n"/>
      <c r="B14" s="6" t="n"/>
      <c r="C14" s="6" t="n"/>
      <c r="D14" s="6" t="n"/>
      <c r="E14" s="6" t="n"/>
      <c r="F14" s="11" t="n"/>
      <c r="G14" s="6" t="n"/>
      <c r="H14" s="6" t="n"/>
      <c r="I14" s="6" t="n"/>
      <c r="J14" s="6">
        <f>IF(OR($C14="",$I14&lt;&gt;"Evet"),"",SUMIFS($D$2:$D$300,$A$2:$A$300,$A14,$C$2:$C$300,$C14,$E$2:$E$300,$E14,$I$2:$I$300,"Evet"))</f>
        <v/>
      </c>
      <c r="K14" s="6">
        <f>IF($E14="","",VLOOKUP($E14,Listeler!$I$2:$J$4,2,0))</f>
        <v/>
      </c>
      <c r="L14" s="6">
        <f>IF($J14="","",IF($J14&gt;$K14,"ARŞEN ONAYI GEREKLİ","Doğrudan geçer"))</f>
        <v/>
      </c>
      <c r="M14" s="6" t="n"/>
      <c r="N14" s="6" t="n"/>
      <c r="O14" s="11" t="n"/>
      <c r="P14" s="6" t="n"/>
      <c r="Q14" s="6" t="n"/>
    </row>
    <row r="15">
      <c r="A15" s="6" t="n"/>
      <c r="B15" s="6" t="n"/>
      <c r="C15" s="6" t="n"/>
      <c r="D15" s="6" t="n"/>
      <c r="E15" s="6" t="n"/>
      <c r="F15" s="11" t="n"/>
      <c r="G15" s="6" t="n"/>
      <c r="H15" s="6" t="n"/>
      <c r="I15" s="6" t="n"/>
      <c r="J15" s="6">
        <f>IF(OR($C15="",$I15&lt;&gt;"Evet"),"",SUMIFS($D$2:$D$300,$A$2:$A$300,$A15,$C$2:$C$300,$C15,$E$2:$E$300,$E15,$I$2:$I$300,"Evet"))</f>
        <v/>
      </c>
      <c r="K15" s="6">
        <f>IF($E15="","",VLOOKUP($E15,Listeler!$I$2:$J$4,2,0))</f>
        <v/>
      </c>
      <c r="L15" s="6">
        <f>IF($J15="","",IF($J15&gt;$K15,"ARŞEN ONAYI GEREKLİ","Doğrudan geçer"))</f>
        <v/>
      </c>
      <c r="M15" s="6" t="n"/>
      <c r="N15" s="6" t="n"/>
      <c r="O15" s="11" t="n"/>
      <c r="P15" s="6" t="n"/>
      <c r="Q15" s="6" t="n"/>
    </row>
    <row r="16">
      <c r="A16" s="6" t="n"/>
      <c r="B16" s="6" t="n"/>
      <c r="C16" s="6" t="n"/>
      <c r="D16" s="6" t="n"/>
      <c r="E16" s="6" t="n"/>
      <c r="F16" s="11" t="n"/>
      <c r="G16" s="6" t="n"/>
      <c r="H16" s="6" t="n"/>
      <c r="I16" s="6" t="n"/>
      <c r="J16" s="6">
        <f>IF(OR($C16="",$I16&lt;&gt;"Evet"),"",SUMIFS($D$2:$D$300,$A$2:$A$300,$A16,$C$2:$C$300,$C16,$E$2:$E$300,$E16,$I$2:$I$300,"Evet"))</f>
        <v/>
      </c>
      <c r="K16" s="6">
        <f>IF($E16="","",VLOOKUP($E16,Listeler!$I$2:$J$4,2,0))</f>
        <v/>
      </c>
      <c r="L16" s="6">
        <f>IF($J16="","",IF($J16&gt;$K16,"ARŞEN ONAYI GEREKLİ","Doğrudan geçer"))</f>
        <v/>
      </c>
      <c r="M16" s="6" t="n"/>
      <c r="N16" s="6" t="n"/>
      <c r="O16" s="11" t="n"/>
      <c r="P16" s="6" t="n"/>
      <c r="Q16" s="6" t="n"/>
    </row>
    <row r="17">
      <c r="A17" s="6" t="n"/>
      <c r="B17" s="6" t="n"/>
      <c r="C17" s="6" t="n"/>
      <c r="D17" s="6" t="n"/>
      <c r="E17" s="6" t="n"/>
      <c r="F17" s="11" t="n"/>
      <c r="G17" s="6" t="n"/>
      <c r="H17" s="6" t="n"/>
      <c r="I17" s="6" t="n"/>
      <c r="J17" s="6">
        <f>IF(OR($C17="",$I17&lt;&gt;"Evet"),"",SUMIFS($D$2:$D$300,$A$2:$A$300,$A17,$C$2:$C$300,$C17,$E$2:$E$300,$E17,$I$2:$I$300,"Evet"))</f>
        <v/>
      </c>
      <c r="K17" s="6">
        <f>IF($E17="","",VLOOKUP($E17,Listeler!$I$2:$J$4,2,0))</f>
        <v/>
      </c>
      <c r="L17" s="6">
        <f>IF($J17="","",IF($J17&gt;$K17,"ARŞEN ONAYI GEREKLİ","Doğrudan geçer"))</f>
        <v/>
      </c>
      <c r="M17" s="6" t="n"/>
      <c r="N17" s="6" t="n"/>
      <c r="O17" s="11" t="n"/>
      <c r="P17" s="6" t="n"/>
      <c r="Q17" s="6" t="n"/>
    </row>
    <row r="18">
      <c r="A18" s="6" t="n"/>
      <c r="B18" s="6" t="n"/>
      <c r="C18" s="6" t="n"/>
      <c r="D18" s="6" t="n"/>
      <c r="E18" s="6" t="n"/>
      <c r="F18" s="11" t="n"/>
      <c r="G18" s="6" t="n"/>
      <c r="H18" s="6" t="n"/>
      <c r="I18" s="6" t="n"/>
      <c r="J18" s="6">
        <f>IF(OR($C18="",$I18&lt;&gt;"Evet"),"",SUMIFS($D$2:$D$300,$A$2:$A$300,$A18,$C$2:$C$300,$C18,$E$2:$E$300,$E18,$I$2:$I$300,"Evet"))</f>
        <v/>
      </c>
      <c r="K18" s="6">
        <f>IF($E18="","",VLOOKUP($E18,Listeler!$I$2:$J$4,2,0))</f>
        <v/>
      </c>
      <c r="L18" s="6">
        <f>IF($J18="","",IF($J18&gt;$K18,"ARŞEN ONAYI GEREKLİ","Doğrudan geçer"))</f>
        <v/>
      </c>
      <c r="M18" s="6" t="n"/>
      <c r="N18" s="6" t="n"/>
      <c r="O18" s="11" t="n"/>
      <c r="P18" s="6" t="n"/>
      <c r="Q18" s="6" t="n"/>
    </row>
    <row r="19">
      <c r="A19" s="6" t="n"/>
      <c r="B19" s="6" t="n"/>
      <c r="C19" s="6" t="n"/>
      <c r="D19" s="6" t="n"/>
      <c r="E19" s="6" t="n"/>
      <c r="F19" s="11" t="n"/>
      <c r="G19" s="6" t="n"/>
      <c r="H19" s="6" t="n"/>
      <c r="I19" s="6" t="n"/>
      <c r="J19" s="6">
        <f>IF(OR($C19="",$I19&lt;&gt;"Evet"),"",SUMIFS($D$2:$D$300,$A$2:$A$300,$A19,$C$2:$C$300,$C19,$E$2:$E$300,$E19,$I$2:$I$300,"Evet"))</f>
        <v/>
      </c>
      <c r="K19" s="6">
        <f>IF($E19="","",VLOOKUP($E19,Listeler!$I$2:$J$4,2,0))</f>
        <v/>
      </c>
      <c r="L19" s="6">
        <f>IF($J19="","",IF($J19&gt;$K19,"ARŞEN ONAYI GEREKLİ","Doğrudan geçer"))</f>
        <v/>
      </c>
      <c r="M19" s="6" t="n"/>
      <c r="N19" s="6" t="n"/>
      <c r="O19" s="11" t="n"/>
      <c r="P19" s="6" t="n"/>
      <c r="Q19" s="6" t="n"/>
    </row>
    <row r="20">
      <c r="A20" s="6" t="n"/>
      <c r="B20" s="6" t="n"/>
      <c r="C20" s="6" t="n"/>
      <c r="D20" s="6" t="n"/>
      <c r="E20" s="6" t="n"/>
      <c r="F20" s="11" t="n"/>
      <c r="G20" s="6" t="n"/>
      <c r="H20" s="6" t="n"/>
      <c r="I20" s="6" t="n"/>
      <c r="J20" s="6">
        <f>IF(OR($C20="",$I20&lt;&gt;"Evet"),"",SUMIFS($D$2:$D$300,$A$2:$A$300,$A20,$C$2:$C$300,$C20,$E$2:$E$300,$E20,$I$2:$I$300,"Evet"))</f>
        <v/>
      </c>
      <c r="K20" s="6">
        <f>IF($E20="","",VLOOKUP($E20,Listeler!$I$2:$J$4,2,0))</f>
        <v/>
      </c>
      <c r="L20" s="6">
        <f>IF($J20="","",IF($J20&gt;$K20,"ARŞEN ONAYI GEREKLİ","Doğrudan geçer"))</f>
        <v/>
      </c>
      <c r="M20" s="6" t="n"/>
      <c r="N20" s="6" t="n"/>
      <c r="O20" s="11" t="n"/>
      <c r="P20" s="6" t="n"/>
      <c r="Q20" s="6" t="n"/>
    </row>
    <row r="21">
      <c r="A21" s="6" t="n"/>
      <c r="B21" s="6" t="n"/>
      <c r="C21" s="6" t="n"/>
      <c r="D21" s="6" t="n"/>
      <c r="E21" s="6" t="n"/>
      <c r="F21" s="11" t="n"/>
      <c r="G21" s="6" t="n"/>
      <c r="H21" s="6" t="n"/>
      <c r="I21" s="6" t="n"/>
      <c r="J21" s="6">
        <f>IF(OR($C21="",$I21&lt;&gt;"Evet"),"",SUMIFS($D$2:$D$300,$A$2:$A$300,$A21,$C$2:$C$300,$C21,$E$2:$E$300,$E21,$I$2:$I$300,"Evet"))</f>
        <v/>
      </c>
      <c r="K21" s="6">
        <f>IF($E21="","",VLOOKUP($E21,Listeler!$I$2:$J$4,2,0))</f>
        <v/>
      </c>
      <c r="L21" s="6">
        <f>IF($J21="","",IF($J21&gt;$K21,"ARŞEN ONAYI GEREKLİ","Doğrudan geçer"))</f>
        <v/>
      </c>
      <c r="M21" s="6" t="n"/>
      <c r="N21" s="6" t="n"/>
      <c r="O21" s="11" t="n"/>
      <c r="P21" s="6" t="n"/>
      <c r="Q21" s="6" t="n"/>
    </row>
    <row r="22">
      <c r="A22" s="6" t="n"/>
      <c r="B22" s="6" t="n"/>
      <c r="C22" s="6" t="n"/>
      <c r="D22" s="6" t="n"/>
      <c r="E22" s="6" t="n"/>
      <c r="F22" s="11" t="n"/>
      <c r="G22" s="6" t="n"/>
      <c r="H22" s="6" t="n"/>
      <c r="I22" s="6" t="n"/>
      <c r="J22" s="6">
        <f>IF(OR($C22="",$I22&lt;&gt;"Evet"),"",SUMIFS($D$2:$D$300,$A$2:$A$300,$A22,$C$2:$C$300,$C22,$E$2:$E$300,$E22,$I$2:$I$300,"Evet"))</f>
        <v/>
      </c>
      <c r="K22" s="6">
        <f>IF($E22="","",VLOOKUP($E22,Listeler!$I$2:$J$4,2,0))</f>
        <v/>
      </c>
      <c r="L22" s="6">
        <f>IF($J22="","",IF($J22&gt;$K22,"ARŞEN ONAYI GEREKLİ","Doğrudan geçer"))</f>
        <v/>
      </c>
      <c r="M22" s="6" t="n"/>
      <c r="N22" s="6" t="n"/>
      <c r="O22" s="11" t="n"/>
      <c r="P22" s="6" t="n"/>
      <c r="Q22" s="6" t="n"/>
    </row>
    <row r="23">
      <c r="A23" s="6" t="n"/>
      <c r="B23" s="6" t="n"/>
      <c r="C23" s="6" t="n"/>
      <c r="D23" s="6" t="n"/>
      <c r="E23" s="6" t="n"/>
      <c r="F23" s="11" t="n"/>
      <c r="G23" s="6" t="n"/>
      <c r="H23" s="6" t="n"/>
      <c r="I23" s="6" t="n"/>
      <c r="J23" s="6">
        <f>IF(OR($C23="",$I23&lt;&gt;"Evet"),"",SUMIFS($D$2:$D$300,$A$2:$A$300,$A23,$C$2:$C$300,$C23,$E$2:$E$300,$E23,$I$2:$I$300,"Evet"))</f>
        <v/>
      </c>
      <c r="K23" s="6">
        <f>IF($E23="","",VLOOKUP($E23,Listeler!$I$2:$J$4,2,0))</f>
        <v/>
      </c>
      <c r="L23" s="6">
        <f>IF($J23="","",IF($J23&gt;$K23,"ARŞEN ONAYI GEREKLİ","Doğrudan geçer"))</f>
        <v/>
      </c>
      <c r="M23" s="6" t="n"/>
      <c r="N23" s="6" t="n"/>
      <c r="O23" s="11" t="n"/>
      <c r="P23" s="6" t="n"/>
      <c r="Q23" s="6" t="n"/>
    </row>
    <row r="24">
      <c r="A24" s="6" t="n"/>
      <c r="B24" s="6" t="n"/>
      <c r="C24" s="6" t="n"/>
      <c r="D24" s="6" t="n"/>
      <c r="E24" s="6" t="n"/>
      <c r="F24" s="11" t="n"/>
      <c r="G24" s="6" t="n"/>
      <c r="H24" s="6" t="n"/>
      <c r="I24" s="6" t="n"/>
      <c r="J24" s="6">
        <f>IF(OR($C24="",$I24&lt;&gt;"Evet"),"",SUMIFS($D$2:$D$300,$A$2:$A$300,$A24,$C$2:$C$300,$C24,$E$2:$E$300,$E24,$I$2:$I$300,"Evet"))</f>
        <v/>
      </c>
      <c r="K24" s="6">
        <f>IF($E24="","",VLOOKUP($E24,Listeler!$I$2:$J$4,2,0))</f>
        <v/>
      </c>
      <c r="L24" s="6">
        <f>IF($J24="","",IF($J24&gt;$K24,"ARŞEN ONAYI GEREKLİ","Doğrudan geçer"))</f>
        <v/>
      </c>
      <c r="M24" s="6" t="n"/>
      <c r="N24" s="6" t="n"/>
      <c r="O24" s="11" t="n"/>
      <c r="P24" s="6" t="n"/>
      <c r="Q24" s="6" t="n"/>
    </row>
    <row r="25">
      <c r="A25" s="6" t="n"/>
      <c r="B25" s="6" t="n"/>
      <c r="C25" s="6" t="n"/>
      <c r="D25" s="6" t="n"/>
      <c r="E25" s="6" t="n"/>
      <c r="F25" s="11" t="n"/>
      <c r="G25" s="6" t="n"/>
      <c r="H25" s="6" t="n"/>
      <c r="I25" s="6" t="n"/>
      <c r="J25" s="6">
        <f>IF(OR($C25="",$I25&lt;&gt;"Evet"),"",SUMIFS($D$2:$D$300,$A$2:$A$300,$A25,$C$2:$C$300,$C25,$E$2:$E$300,$E25,$I$2:$I$300,"Evet"))</f>
        <v/>
      </c>
      <c r="K25" s="6">
        <f>IF($E25="","",VLOOKUP($E25,Listeler!$I$2:$J$4,2,0))</f>
        <v/>
      </c>
      <c r="L25" s="6">
        <f>IF($J25="","",IF($J25&gt;$K25,"ARŞEN ONAYI GEREKLİ","Doğrudan geçer"))</f>
        <v/>
      </c>
      <c r="M25" s="6" t="n"/>
      <c r="N25" s="6" t="n"/>
      <c r="O25" s="11" t="n"/>
      <c r="P25" s="6" t="n"/>
      <c r="Q25" s="6" t="n"/>
    </row>
    <row r="26">
      <c r="A26" s="6" t="n"/>
      <c r="B26" s="6" t="n"/>
      <c r="C26" s="6" t="n"/>
      <c r="D26" s="6" t="n"/>
      <c r="E26" s="6" t="n"/>
      <c r="F26" s="11" t="n"/>
      <c r="G26" s="6" t="n"/>
      <c r="H26" s="6" t="n"/>
      <c r="I26" s="6" t="n"/>
      <c r="J26" s="6">
        <f>IF(OR($C26="",$I26&lt;&gt;"Evet"),"",SUMIFS($D$2:$D$300,$A$2:$A$300,$A26,$C$2:$C$300,$C26,$E$2:$E$300,$E26,$I$2:$I$300,"Evet"))</f>
        <v/>
      </c>
      <c r="K26" s="6">
        <f>IF($E26="","",VLOOKUP($E26,Listeler!$I$2:$J$4,2,0))</f>
        <v/>
      </c>
      <c r="L26" s="6">
        <f>IF($J26="","",IF($J26&gt;$K26,"ARŞEN ONAYI GEREKLİ","Doğrudan geçer"))</f>
        <v/>
      </c>
      <c r="M26" s="6" t="n"/>
      <c r="N26" s="6" t="n"/>
      <c r="O26" s="11" t="n"/>
      <c r="P26" s="6" t="n"/>
      <c r="Q26" s="6" t="n"/>
    </row>
    <row r="27">
      <c r="A27" s="6" t="n"/>
      <c r="B27" s="6" t="n"/>
      <c r="C27" s="6" t="n"/>
      <c r="D27" s="6" t="n"/>
      <c r="E27" s="6" t="n"/>
      <c r="F27" s="11" t="n"/>
      <c r="G27" s="6" t="n"/>
      <c r="H27" s="6" t="n"/>
      <c r="I27" s="6" t="n"/>
      <c r="J27" s="6">
        <f>IF(OR($C27="",$I27&lt;&gt;"Evet"),"",SUMIFS($D$2:$D$300,$A$2:$A$300,$A27,$C$2:$C$300,$C27,$E$2:$E$300,$E27,$I$2:$I$300,"Evet"))</f>
        <v/>
      </c>
      <c r="K27" s="6">
        <f>IF($E27="","",VLOOKUP($E27,Listeler!$I$2:$J$4,2,0))</f>
        <v/>
      </c>
      <c r="L27" s="6">
        <f>IF($J27="","",IF($J27&gt;$K27,"ARŞEN ONAYI GEREKLİ","Doğrudan geçer"))</f>
        <v/>
      </c>
      <c r="M27" s="6" t="n"/>
      <c r="N27" s="6" t="n"/>
      <c r="O27" s="11" t="n"/>
      <c r="P27" s="6" t="n"/>
      <c r="Q27" s="6" t="n"/>
    </row>
    <row r="28">
      <c r="A28" s="6" t="n"/>
      <c r="B28" s="6" t="n"/>
      <c r="C28" s="6" t="n"/>
      <c r="D28" s="6" t="n"/>
      <c r="E28" s="6" t="n"/>
      <c r="F28" s="11" t="n"/>
      <c r="G28" s="6" t="n"/>
      <c r="H28" s="6" t="n"/>
      <c r="I28" s="6" t="n"/>
      <c r="J28" s="6">
        <f>IF(OR($C28="",$I28&lt;&gt;"Evet"),"",SUMIFS($D$2:$D$300,$A$2:$A$300,$A28,$C$2:$C$300,$C28,$E$2:$E$300,$E28,$I$2:$I$300,"Evet"))</f>
        <v/>
      </c>
      <c r="K28" s="6">
        <f>IF($E28="","",VLOOKUP($E28,Listeler!$I$2:$J$4,2,0))</f>
        <v/>
      </c>
      <c r="L28" s="6">
        <f>IF($J28="","",IF($J28&gt;$K28,"ARŞEN ONAYI GEREKLİ","Doğrudan geçer"))</f>
        <v/>
      </c>
      <c r="M28" s="6" t="n"/>
      <c r="N28" s="6" t="n"/>
      <c r="O28" s="11" t="n"/>
      <c r="P28" s="6" t="n"/>
      <c r="Q28" s="6" t="n"/>
    </row>
    <row r="29">
      <c r="A29" s="6" t="n"/>
      <c r="B29" s="6" t="n"/>
      <c r="C29" s="6" t="n"/>
      <c r="D29" s="6" t="n"/>
      <c r="E29" s="6" t="n"/>
      <c r="F29" s="11" t="n"/>
      <c r="G29" s="6" t="n"/>
      <c r="H29" s="6" t="n"/>
      <c r="I29" s="6" t="n"/>
      <c r="J29" s="6">
        <f>IF(OR($C29="",$I29&lt;&gt;"Evet"),"",SUMIFS($D$2:$D$300,$A$2:$A$300,$A29,$C$2:$C$300,$C29,$E$2:$E$300,$E29,$I$2:$I$300,"Evet"))</f>
        <v/>
      </c>
      <c r="K29" s="6">
        <f>IF($E29="","",VLOOKUP($E29,Listeler!$I$2:$J$4,2,0))</f>
        <v/>
      </c>
      <c r="L29" s="6">
        <f>IF($J29="","",IF($J29&gt;$K29,"ARŞEN ONAYI GEREKLİ","Doğrudan geçer"))</f>
        <v/>
      </c>
      <c r="M29" s="6" t="n"/>
      <c r="N29" s="6" t="n"/>
      <c r="O29" s="11" t="n"/>
      <c r="P29" s="6" t="n"/>
      <c r="Q29" s="6" t="n"/>
    </row>
    <row r="30">
      <c r="A30" s="6" t="n"/>
      <c r="B30" s="6" t="n"/>
      <c r="C30" s="6" t="n"/>
      <c r="D30" s="6" t="n"/>
      <c r="E30" s="6" t="n"/>
      <c r="F30" s="11" t="n"/>
      <c r="G30" s="6" t="n"/>
      <c r="H30" s="6" t="n"/>
      <c r="I30" s="6" t="n"/>
      <c r="J30" s="6">
        <f>IF(OR($C30="",$I30&lt;&gt;"Evet"),"",SUMIFS($D$2:$D$300,$A$2:$A$300,$A30,$C$2:$C$300,$C30,$E$2:$E$300,$E30,$I$2:$I$300,"Evet"))</f>
        <v/>
      </c>
      <c r="K30" s="6">
        <f>IF($E30="","",VLOOKUP($E30,Listeler!$I$2:$J$4,2,0))</f>
        <v/>
      </c>
      <c r="L30" s="6">
        <f>IF($J30="","",IF($J30&gt;$K30,"ARŞEN ONAYI GEREKLİ","Doğrudan geçer"))</f>
        <v/>
      </c>
      <c r="M30" s="6" t="n"/>
      <c r="N30" s="6" t="n"/>
      <c r="O30" s="11" t="n"/>
      <c r="P30" s="6" t="n"/>
      <c r="Q30" s="6" t="n"/>
    </row>
    <row r="31">
      <c r="A31" s="6" t="n"/>
      <c r="B31" s="6" t="n"/>
      <c r="C31" s="6" t="n"/>
      <c r="D31" s="6" t="n"/>
      <c r="E31" s="6" t="n"/>
      <c r="F31" s="11" t="n"/>
      <c r="G31" s="6" t="n"/>
      <c r="H31" s="6" t="n"/>
      <c r="I31" s="6" t="n"/>
      <c r="J31" s="6">
        <f>IF(OR($C31="",$I31&lt;&gt;"Evet"),"",SUMIFS($D$2:$D$300,$A$2:$A$300,$A31,$C$2:$C$300,$C31,$E$2:$E$300,$E31,$I$2:$I$300,"Evet"))</f>
        <v/>
      </c>
      <c r="K31" s="6">
        <f>IF($E31="","",VLOOKUP($E31,Listeler!$I$2:$J$4,2,0))</f>
        <v/>
      </c>
      <c r="L31" s="6">
        <f>IF($J31="","",IF($J31&gt;$K31,"ARŞEN ONAYI GEREKLİ","Doğrudan geçer"))</f>
        <v/>
      </c>
      <c r="M31" s="6" t="n"/>
      <c r="N31" s="6" t="n"/>
      <c r="O31" s="11" t="n"/>
      <c r="P31" s="6" t="n"/>
      <c r="Q31" s="6" t="n"/>
    </row>
    <row r="32">
      <c r="A32" s="6" t="n"/>
      <c r="B32" s="6" t="n"/>
      <c r="C32" s="6" t="n"/>
      <c r="D32" s="6" t="n"/>
      <c r="E32" s="6" t="n"/>
      <c r="F32" s="11" t="n"/>
      <c r="G32" s="6" t="n"/>
      <c r="H32" s="6" t="n"/>
      <c r="I32" s="6" t="n"/>
      <c r="J32" s="6">
        <f>IF(OR($C32="",$I32&lt;&gt;"Evet"),"",SUMIFS($D$2:$D$300,$A$2:$A$300,$A32,$C$2:$C$300,$C32,$E$2:$E$300,$E32,$I$2:$I$300,"Evet"))</f>
        <v/>
      </c>
      <c r="K32" s="6">
        <f>IF($E32="","",VLOOKUP($E32,Listeler!$I$2:$J$4,2,0))</f>
        <v/>
      </c>
      <c r="L32" s="6">
        <f>IF($J32="","",IF($J32&gt;$K32,"ARŞEN ONAYI GEREKLİ","Doğrudan geçer"))</f>
        <v/>
      </c>
      <c r="M32" s="6" t="n"/>
      <c r="N32" s="6" t="n"/>
      <c r="O32" s="11" t="n"/>
      <c r="P32" s="6" t="n"/>
      <c r="Q32" s="6" t="n"/>
    </row>
    <row r="33">
      <c r="A33" s="6" t="n"/>
      <c r="B33" s="6" t="n"/>
      <c r="C33" s="6" t="n"/>
      <c r="D33" s="6" t="n"/>
      <c r="E33" s="6" t="n"/>
      <c r="F33" s="11" t="n"/>
      <c r="G33" s="6" t="n"/>
      <c r="H33" s="6" t="n"/>
      <c r="I33" s="6" t="n"/>
      <c r="J33" s="6">
        <f>IF(OR($C33="",$I33&lt;&gt;"Evet"),"",SUMIFS($D$2:$D$300,$A$2:$A$300,$A33,$C$2:$C$300,$C33,$E$2:$E$300,$E33,$I$2:$I$300,"Evet"))</f>
        <v/>
      </c>
      <c r="K33" s="6">
        <f>IF($E33="","",VLOOKUP($E33,Listeler!$I$2:$J$4,2,0))</f>
        <v/>
      </c>
      <c r="L33" s="6">
        <f>IF($J33="","",IF($J33&gt;$K33,"ARŞEN ONAYI GEREKLİ","Doğrudan geçer"))</f>
        <v/>
      </c>
      <c r="M33" s="6" t="n"/>
      <c r="N33" s="6" t="n"/>
      <c r="O33" s="11" t="n"/>
      <c r="P33" s="6" t="n"/>
      <c r="Q33" s="6" t="n"/>
    </row>
    <row r="34">
      <c r="A34" s="6" t="n"/>
      <c r="B34" s="6" t="n"/>
      <c r="C34" s="6" t="n"/>
      <c r="D34" s="6" t="n"/>
      <c r="E34" s="6" t="n"/>
      <c r="F34" s="11" t="n"/>
      <c r="G34" s="6" t="n"/>
      <c r="H34" s="6" t="n"/>
      <c r="I34" s="6" t="n"/>
      <c r="J34" s="6">
        <f>IF(OR($C34="",$I34&lt;&gt;"Evet"),"",SUMIFS($D$2:$D$300,$A$2:$A$300,$A34,$C$2:$C$300,$C34,$E$2:$E$300,$E34,$I$2:$I$300,"Evet"))</f>
        <v/>
      </c>
      <c r="K34" s="6">
        <f>IF($E34="","",VLOOKUP($E34,Listeler!$I$2:$J$4,2,0))</f>
        <v/>
      </c>
      <c r="L34" s="6">
        <f>IF($J34="","",IF($J34&gt;$K34,"ARŞEN ONAYI GEREKLİ","Doğrudan geçer"))</f>
        <v/>
      </c>
      <c r="M34" s="6" t="n"/>
      <c r="N34" s="6" t="n"/>
      <c r="O34" s="11" t="n"/>
      <c r="P34" s="6" t="n"/>
      <c r="Q34" s="6" t="n"/>
    </row>
    <row r="35">
      <c r="A35" s="6" t="n"/>
      <c r="B35" s="6" t="n"/>
      <c r="C35" s="6" t="n"/>
      <c r="D35" s="6" t="n"/>
      <c r="E35" s="6" t="n"/>
      <c r="F35" s="11" t="n"/>
      <c r="G35" s="6" t="n"/>
      <c r="H35" s="6" t="n"/>
      <c r="I35" s="6" t="n"/>
      <c r="J35" s="6">
        <f>IF(OR($C35="",$I35&lt;&gt;"Evet"),"",SUMIFS($D$2:$D$300,$A$2:$A$300,$A35,$C$2:$C$300,$C35,$E$2:$E$300,$E35,$I$2:$I$300,"Evet"))</f>
        <v/>
      </c>
      <c r="K35" s="6">
        <f>IF($E35="","",VLOOKUP($E35,Listeler!$I$2:$J$4,2,0))</f>
        <v/>
      </c>
      <c r="L35" s="6">
        <f>IF($J35="","",IF($J35&gt;$K35,"ARŞEN ONAYI GEREKLİ","Doğrudan geçer"))</f>
        <v/>
      </c>
      <c r="M35" s="6" t="n"/>
      <c r="N35" s="6" t="n"/>
      <c r="O35" s="11" t="n"/>
      <c r="P35" s="6" t="n"/>
      <c r="Q35" s="6" t="n"/>
    </row>
    <row r="36">
      <c r="A36" s="6" t="n"/>
      <c r="B36" s="6" t="n"/>
      <c r="C36" s="6" t="n"/>
      <c r="D36" s="6" t="n"/>
      <c r="E36" s="6" t="n"/>
      <c r="F36" s="11" t="n"/>
      <c r="G36" s="6" t="n"/>
      <c r="H36" s="6" t="n"/>
      <c r="I36" s="6" t="n"/>
      <c r="J36" s="6">
        <f>IF(OR($C36="",$I36&lt;&gt;"Evet"),"",SUMIFS($D$2:$D$300,$A$2:$A$300,$A36,$C$2:$C$300,$C36,$E$2:$E$300,$E36,$I$2:$I$300,"Evet"))</f>
        <v/>
      </c>
      <c r="K36" s="6">
        <f>IF($E36="","",VLOOKUP($E36,Listeler!$I$2:$J$4,2,0))</f>
        <v/>
      </c>
      <c r="L36" s="6">
        <f>IF($J36="","",IF($J36&gt;$K36,"ARŞEN ONAYI GEREKLİ","Doğrudan geçer"))</f>
        <v/>
      </c>
      <c r="M36" s="6" t="n"/>
      <c r="N36" s="6" t="n"/>
      <c r="O36" s="11" t="n"/>
      <c r="P36" s="6" t="n"/>
      <c r="Q36" s="6" t="n"/>
    </row>
    <row r="37">
      <c r="A37" s="6" t="n"/>
      <c r="B37" s="6" t="n"/>
      <c r="C37" s="6" t="n"/>
      <c r="D37" s="6" t="n"/>
      <c r="E37" s="6" t="n"/>
      <c r="F37" s="11" t="n"/>
      <c r="G37" s="6" t="n"/>
      <c r="H37" s="6" t="n"/>
      <c r="I37" s="6" t="n"/>
      <c r="J37" s="6">
        <f>IF(OR($C37="",$I37&lt;&gt;"Evet"),"",SUMIFS($D$2:$D$300,$A$2:$A$300,$A37,$C$2:$C$300,$C37,$E$2:$E$300,$E37,$I$2:$I$300,"Evet"))</f>
        <v/>
      </c>
      <c r="K37" s="6">
        <f>IF($E37="","",VLOOKUP($E37,Listeler!$I$2:$J$4,2,0))</f>
        <v/>
      </c>
      <c r="L37" s="6">
        <f>IF($J37="","",IF($J37&gt;$K37,"ARŞEN ONAYI GEREKLİ","Doğrudan geçer"))</f>
        <v/>
      </c>
      <c r="M37" s="6" t="n"/>
      <c r="N37" s="6" t="n"/>
      <c r="O37" s="11" t="n"/>
      <c r="P37" s="6" t="n"/>
      <c r="Q37" s="6" t="n"/>
    </row>
    <row r="38">
      <c r="A38" s="6" t="n"/>
      <c r="B38" s="6" t="n"/>
      <c r="C38" s="6" t="n"/>
      <c r="D38" s="6" t="n"/>
      <c r="E38" s="6" t="n"/>
      <c r="F38" s="11" t="n"/>
      <c r="G38" s="6" t="n"/>
      <c r="H38" s="6" t="n"/>
      <c r="I38" s="6" t="n"/>
      <c r="J38" s="6">
        <f>IF(OR($C38="",$I38&lt;&gt;"Evet"),"",SUMIFS($D$2:$D$300,$A$2:$A$300,$A38,$C$2:$C$300,$C38,$E$2:$E$300,$E38,$I$2:$I$300,"Evet"))</f>
        <v/>
      </c>
      <c r="K38" s="6">
        <f>IF($E38="","",VLOOKUP($E38,Listeler!$I$2:$J$4,2,0))</f>
        <v/>
      </c>
      <c r="L38" s="6">
        <f>IF($J38="","",IF($J38&gt;$K38,"ARŞEN ONAYI GEREKLİ","Doğrudan geçer"))</f>
        <v/>
      </c>
      <c r="M38" s="6" t="n"/>
      <c r="N38" s="6" t="n"/>
      <c r="O38" s="11" t="n"/>
      <c r="P38" s="6" t="n"/>
      <c r="Q38" s="6" t="n"/>
    </row>
    <row r="39">
      <c r="A39" s="6" t="n"/>
      <c r="B39" s="6" t="n"/>
      <c r="C39" s="6" t="n"/>
      <c r="D39" s="6" t="n"/>
      <c r="E39" s="6" t="n"/>
      <c r="F39" s="11" t="n"/>
      <c r="G39" s="6" t="n"/>
      <c r="H39" s="6" t="n"/>
      <c r="I39" s="6" t="n"/>
      <c r="J39" s="6">
        <f>IF(OR($C39="",$I39&lt;&gt;"Evet"),"",SUMIFS($D$2:$D$300,$A$2:$A$300,$A39,$C$2:$C$300,$C39,$E$2:$E$300,$E39,$I$2:$I$300,"Evet"))</f>
        <v/>
      </c>
      <c r="K39" s="6">
        <f>IF($E39="","",VLOOKUP($E39,Listeler!$I$2:$J$4,2,0))</f>
        <v/>
      </c>
      <c r="L39" s="6">
        <f>IF($J39="","",IF($J39&gt;$K39,"ARŞEN ONAYI GEREKLİ","Doğrudan geçer"))</f>
        <v/>
      </c>
      <c r="M39" s="6" t="n"/>
      <c r="N39" s="6" t="n"/>
      <c r="O39" s="11" t="n"/>
      <c r="P39" s="6" t="n"/>
      <c r="Q39" s="6" t="n"/>
    </row>
    <row r="40">
      <c r="A40" s="6" t="n"/>
      <c r="B40" s="6" t="n"/>
      <c r="C40" s="6" t="n"/>
      <c r="D40" s="6" t="n"/>
      <c r="E40" s="6" t="n"/>
      <c r="F40" s="11" t="n"/>
      <c r="G40" s="6" t="n"/>
      <c r="H40" s="6" t="n"/>
      <c r="I40" s="6" t="n"/>
      <c r="J40" s="6">
        <f>IF(OR($C40="",$I40&lt;&gt;"Evet"),"",SUMIFS($D$2:$D$300,$A$2:$A$300,$A40,$C$2:$C$300,$C40,$E$2:$E$300,$E40,$I$2:$I$300,"Evet"))</f>
        <v/>
      </c>
      <c r="K40" s="6">
        <f>IF($E40="","",VLOOKUP($E40,Listeler!$I$2:$J$4,2,0))</f>
        <v/>
      </c>
      <c r="L40" s="6">
        <f>IF($J40="","",IF($J40&gt;$K40,"ARŞEN ONAYI GEREKLİ","Doğrudan geçer"))</f>
        <v/>
      </c>
      <c r="M40" s="6" t="n"/>
      <c r="N40" s="6" t="n"/>
      <c r="O40" s="11" t="n"/>
      <c r="P40" s="6" t="n"/>
      <c r="Q40" s="6" t="n"/>
    </row>
    <row r="41">
      <c r="A41" s="6" t="n"/>
      <c r="B41" s="6" t="n"/>
      <c r="C41" s="6" t="n"/>
      <c r="D41" s="6" t="n"/>
      <c r="E41" s="6" t="n"/>
      <c r="F41" s="11" t="n"/>
      <c r="G41" s="6" t="n"/>
      <c r="H41" s="6" t="n"/>
      <c r="I41" s="6" t="n"/>
      <c r="J41" s="6">
        <f>IF(OR($C41="",$I41&lt;&gt;"Evet"),"",SUMIFS($D$2:$D$300,$A$2:$A$300,$A41,$C$2:$C$300,$C41,$E$2:$E$300,$E41,$I$2:$I$300,"Evet"))</f>
        <v/>
      </c>
      <c r="K41" s="6">
        <f>IF($E41="","",VLOOKUP($E41,Listeler!$I$2:$J$4,2,0))</f>
        <v/>
      </c>
      <c r="L41" s="6">
        <f>IF($J41="","",IF($J41&gt;$K41,"ARŞEN ONAYI GEREKLİ","Doğrudan geçer"))</f>
        <v/>
      </c>
      <c r="M41" s="6" t="n"/>
      <c r="N41" s="6" t="n"/>
      <c r="O41" s="11" t="n"/>
      <c r="P41" s="6" t="n"/>
      <c r="Q41" s="6" t="n"/>
    </row>
    <row r="42">
      <c r="A42" s="6" t="n"/>
      <c r="B42" s="6" t="n"/>
      <c r="C42" s="6" t="n"/>
      <c r="D42" s="6" t="n"/>
      <c r="E42" s="6" t="n"/>
      <c r="F42" s="11" t="n"/>
      <c r="G42" s="6" t="n"/>
      <c r="H42" s="6" t="n"/>
      <c r="I42" s="6" t="n"/>
      <c r="J42" s="6">
        <f>IF(OR($C42="",$I42&lt;&gt;"Evet"),"",SUMIFS($D$2:$D$300,$A$2:$A$300,$A42,$C$2:$C$300,$C42,$E$2:$E$300,$E42,$I$2:$I$300,"Evet"))</f>
        <v/>
      </c>
      <c r="K42" s="6">
        <f>IF($E42="","",VLOOKUP($E42,Listeler!$I$2:$J$4,2,0))</f>
        <v/>
      </c>
      <c r="L42" s="6">
        <f>IF($J42="","",IF($J42&gt;$K42,"ARŞEN ONAYI GEREKLİ","Doğrudan geçer"))</f>
        <v/>
      </c>
      <c r="M42" s="6" t="n"/>
      <c r="N42" s="6" t="n"/>
      <c r="O42" s="11" t="n"/>
      <c r="P42" s="6" t="n"/>
      <c r="Q42" s="6" t="n"/>
    </row>
    <row r="43">
      <c r="A43" s="6" t="n"/>
      <c r="B43" s="6" t="n"/>
      <c r="C43" s="6" t="n"/>
      <c r="D43" s="6" t="n"/>
      <c r="E43" s="6" t="n"/>
      <c r="F43" s="11" t="n"/>
      <c r="G43" s="6" t="n"/>
      <c r="H43" s="6" t="n"/>
      <c r="I43" s="6" t="n"/>
      <c r="J43" s="6">
        <f>IF(OR($C43="",$I43&lt;&gt;"Evet"),"",SUMIFS($D$2:$D$300,$A$2:$A$300,$A43,$C$2:$C$300,$C43,$E$2:$E$300,$E43,$I$2:$I$300,"Evet"))</f>
        <v/>
      </c>
      <c r="K43" s="6">
        <f>IF($E43="","",VLOOKUP($E43,Listeler!$I$2:$J$4,2,0))</f>
        <v/>
      </c>
      <c r="L43" s="6">
        <f>IF($J43="","",IF($J43&gt;$K43,"ARŞEN ONAYI GEREKLİ","Doğrudan geçer"))</f>
        <v/>
      </c>
      <c r="M43" s="6" t="n"/>
      <c r="N43" s="6" t="n"/>
      <c r="O43" s="11" t="n"/>
      <c r="P43" s="6" t="n"/>
      <c r="Q43" s="6" t="n"/>
    </row>
    <row r="44">
      <c r="A44" s="6" t="n"/>
      <c r="B44" s="6" t="n"/>
      <c r="C44" s="6" t="n"/>
      <c r="D44" s="6" t="n"/>
      <c r="E44" s="6" t="n"/>
      <c r="F44" s="11" t="n"/>
      <c r="G44" s="6" t="n"/>
      <c r="H44" s="6" t="n"/>
      <c r="I44" s="6" t="n"/>
      <c r="J44" s="6">
        <f>IF(OR($C44="",$I44&lt;&gt;"Evet"),"",SUMIFS($D$2:$D$300,$A$2:$A$300,$A44,$C$2:$C$300,$C44,$E$2:$E$300,$E44,$I$2:$I$300,"Evet"))</f>
        <v/>
      </c>
      <c r="K44" s="6">
        <f>IF($E44="","",VLOOKUP($E44,Listeler!$I$2:$J$4,2,0))</f>
        <v/>
      </c>
      <c r="L44" s="6">
        <f>IF($J44="","",IF($J44&gt;$K44,"ARŞEN ONAYI GEREKLİ","Doğrudan geçer"))</f>
        <v/>
      </c>
      <c r="M44" s="6" t="n"/>
      <c r="N44" s="6" t="n"/>
      <c r="O44" s="11" t="n"/>
      <c r="P44" s="6" t="n"/>
      <c r="Q44" s="6" t="n"/>
    </row>
    <row r="45">
      <c r="A45" s="6" t="n"/>
      <c r="B45" s="6" t="n"/>
      <c r="C45" s="6" t="n"/>
      <c r="D45" s="6" t="n"/>
      <c r="E45" s="6" t="n"/>
      <c r="F45" s="11" t="n"/>
      <c r="G45" s="6" t="n"/>
      <c r="H45" s="6" t="n"/>
      <c r="I45" s="6" t="n"/>
      <c r="J45" s="6">
        <f>IF(OR($C45="",$I45&lt;&gt;"Evet"),"",SUMIFS($D$2:$D$300,$A$2:$A$300,$A45,$C$2:$C$300,$C45,$E$2:$E$300,$E45,$I$2:$I$300,"Evet"))</f>
        <v/>
      </c>
      <c r="K45" s="6">
        <f>IF($E45="","",VLOOKUP($E45,Listeler!$I$2:$J$4,2,0))</f>
        <v/>
      </c>
      <c r="L45" s="6">
        <f>IF($J45="","",IF($J45&gt;$K45,"ARŞEN ONAYI GEREKLİ","Doğrudan geçer"))</f>
        <v/>
      </c>
      <c r="M45" s="6" t="n"/>
      <c r="N45" s="6" t="n"/>
      <c r="O45" s="11" t="n"/>
      <c r="P45" s="6" t="n"/>
      <c r="Q45" s="6" t="n"/>
    </row>
    <row r="46">
      <c r="A46" s="6" t="n"/>
      <c r="B46" s="6" t="n"/>
      <c r="C46" s="6" t="n"/>
      <c r="D46" s="6" t="n"/>
      <c r="E46" s="6" t="n"/>
      <c r="F46" s="11" t="n"/>
      <c r="G46" s="6" t="n"/>
      <c r="H46" s="6" t="n"/>
      <c r="I46" s="6" t="n"/>
      <c r="J46" s="6">
        <f>IF(OR($C46="",$I46&lt;&gt;"Evet"),"",SUMIFS($D$2:$D$300,$A$2:$A$300,$A46,$C$2:$C$300,$C46,$E$2:$E$300,$E46,$I$2:$I$300,"Evet"))</f>
        <v/>
      </c>
      <c r="K46" s="6">
        <f>IF($E46="","",VLOOKUP($E46,Listeler!$I$2:$J$4,2,0))</f>
        <v/>
      </c>
      <c r="L46" s="6">
        <f>IF($J46="","",IF($J46&gt;$K46,"ARŞEN ONAYI GEREKLİ","Doğrudan geçer"))</f>
        <v/>
      </c>
      <c r="M46" s="6" t="n"/>
      <c r="N46" s="6" t="n"/>
      <c r="O46" s="11" t="n"/>
      <c r="P46" s="6" t="n"/>
      <c r="Q46" s="6" t="n"/>
    </row>
    <row r="47">
      <c r="A47" s="6" t="n"/>
      <c r="B47" s="6" t="n"/>
      <c r="C47" s="6" t="n"/>
      <c r="D47" s="6" t="n"/>
      <c r="E47" s="6" t="n"/>
      <c r="F47" s="11" t="n"/>
      <c r="G47" s="6" t="n"/>
      <c r="H47" s="6" t="n"/>
      <c r="I47" s="6" t="n"/>
      <c r="J47" s="6">
        <f>IF(OR($C47="",$I47&lt;&gt;"Evet"),"",SUMIFS($D$2:$D$300,$A$2:$A$300,$A47,$C$2:$C$300,$C47,$E$2:$E$300,$E47,$I$2:$I$300,"Evet"))</f>
        <v/>
      </c>
      <c r="K47" s="6">
        <f>IF($E47="","",VLOOKUP($E47,Listeler!$I$2:$J$4,2,0))</f>
        <v/>
      </c>
      <c r="L47" s="6">
        <f>IF($J47="","",IF($J47&gt;$K47,"ARŞEN ONAYI GEREKLİ","Doğrudan geçer"))</f>
        <v/>
      </c>
      <c r="M47" s="6" t="n"/>
      <c r="N47" s="6" t="n"/>
      <c r="O47" s="11" t="n"/>
      <c r="P47" s="6" t="n"/>
      <c r="Q47" s="6" t="n"/>
    </row>
    <row r="48">
      <c r="A48" s="6" t="n"/>
      <c r="B48" s="6" t="n"/>
      <c r="C48" s="6" t="n"/>
      <c r="D48" s="6" t="n"/>
      <c r="E48" s="6" t="n"/>
      <c r="F48" s="11" t="n"/>
      <c r="G48" s="6" t="n"/>
      <c r="H48" s="6" t="n"/>
      <c r="I48" s="6" t="n"/>
      <c r="J48" s="6">
        <f>IF(OR($C48="",$I48&lt;&gt;"Evet"),"",SUMIFS($D$2:$D$300,$A$2:$A$300,$A48,$C$2:$C$300,$C48,$E$2:$E$300,$E48,$I$2:$I$300,"Evet"))</f>
        <v/>
      </c>
      <c r="K48" s="6">
        <f>IF($E48="","",VLOOKUP($E48,Listeler!$I$2:$J$4,2,0))</f>
        <v/>
      </c>
      <c r="L48" s="6">
        <f>IF($J48="","",IF($J48&gt;$K48,"ARŞEN ONAYI GEREKLİ","Doğrudan geçer"))</f>
        <v/>
      </c>
      <c r="M48" s="6" t="n"/>
      <c r="N48" s="6" t="n"/>
      <c r="O48" s="11" t="n"/>
      <c r="P48" s="6" t="n"/>
      <c r="Q48" s="6" t="n"/>
    </row>
    <row r="49">
      <c r="A49" s="6" t="n"/>
      <c r="B49" s="6" t="n"/>
      <c r="C49" s="6" t="n"/>
      <c r="D49" s="6" t="n"/>
      <c r="E49" s="6" t="n"/>
      <c r="F49" s="11" t="n"/>
      <c r="G49" s="6" t="n"/>
      <c r="H49" s="6" t="n"/>
      <c r="I49" s="6" t="n"/>
      <c r="J49" s="6">
        <f>IF(OR($C49="",$I49&lt;&gt;"Evet"),"",SUMIFS($D$2:$D$300,$A$2:$A$300,$A49,$C$2:$C$300,$C49,$E$2:$E$300,$E49,$I$2:$I$300,"Evet"))</f>
        <v/>
      </c>
      <c r="K49" s="6">
        <f>IF($E49="","",VLOOKUP($E49,Listeler!$I$2:$J$4,2,0))</f>
        <v/>
      </c>
      <c r="L49" s="6">
        <f>IF($J49="","",IF($J49&gt;$K49,"ARŞEN ONAYI GEREKLİ","Doğrudan geçer"))</f>
        <v/>
      </c>
      <c r="M49" s="6" t="n"/>
      <c r="N49" s="6" t="n"/>
      <c r="O49" s="11" t="n"/>
      <c r="P49" s="6" t="n"/>
      <c r="Q49" s="6" t="n"/>
    </row>
    <row r="50">
      <c r="A50" s="6" t="n"/>
      <c r="B50" s="6" t="n"/>
      <c r="C50" s="6" t="n"/>
      <c r="D50" s="6" t="n"/>
      <c r="E50" s="6" t="n"/>
      <c r="F50" s="11" t="n"/>
      <c r="G50" s="6" t="n"/>
      <c r="H50" s="6" t="n"/>
      <c r="I50" s="6" t="n"/>
      <c r="J50" s="6">
        <f>IF(OR($C50="",$I50&lt;&gt;"Evet"),"",SUMIFS($D$2:$D$300,$A$2:$A$300,$A50,$C$2:$C$300,$C50,$E$2:$E$300,$E50,$I$2:$I$300,"Evet"))</f>
        <v/>
      </c>
      <c r="K50" s="6">
        <f>IF($E50="","",VLOOKUP($E50,Listeler!$I$2:$J$4,2,0))</f>
        <v/>
      </c>
      <c r="L50" s="6">
        <f>IF($J50="","",IF($J50&gt;$K50,"ARŞEN ONAYI GEREKLİ","Doğrudan geçer"))</f>
        <v/>
      </c>
      <c r="M50" s="6" t="n"/>
      <c r="N50" s="6" t="n"/>
      <c r="O50" s="11" t="n"/>
      <c r="P50" s="6" t="n"/>
      <c r="Q50" s="6" t="n"/>
    </row>
    <row r="51">
      <c r="A51" s="6" t="n"/>
      <c r="B51" s="6" t="n"/>
      <c r="C51" s="6" t="n"/>
      <c r="D51" s="6" t="n"/>
      <c r="E51" s="6" t="n"/>
      <c r="F51" s="11" t="n"/>
      <c r="G51" s="6" t="n"/>
      <c r="H51" s="6" t="n"/>
      <c r="I51" s="6" t="n"/>
      <c r="J51" s="6">
        <f>IF(OR($C51="",$I51&lt;&gt;"Evet"),"",SUMIFS($D$2:$D$300,$A$2:$A$300,$A51,$C$2:$C$300,$C51,$E$2:$E$300,$E51,$I$2:$I$300,"Evet"))</f>
        <v/>
      </c>
      <c r="K51" s="6">
        <f>IF($E51="","",VLOOKUP($E51,Listeler!$I$2:$J$4,2,0))</f>
        <v/>
      </c>
      <c r="L51" s="6">
        <f>IF($J51="","",IF($J51&gt;$K51,"ARŞEN ONAYI GEREKLİ","Doğrudan geçer"))</f>
        <v/>
      </c>
      <c r="M51" s="6" t="n"/>
      <c r="N51" s="6" t="n"/>
      <c r="O51" s="11" t="n"/>
      <c r="P51" s="6" t="n"/>
      <c r="Q51" s="6" t="n"/>
    </row>
    <row r="52">
      <c r="A52" s="6" t="n"/>
      <c r="B52" s="6" t="n"/>
      <c r="C52" s="6" t="n"/>
      <c r="D52" s="6" t="n"/>
      <c r="E52" s="6" t="n"/>
      <c r="F52" s="11" t="n"/>
      <c r="G52" s="6" t="n"/>
      <c r="H52" s="6" t="n"/>
      <c r="I52" s="6" t="n"/>
      <c r="J52" s="6">
        <f>IF(OR($C52="",$I52&lt;&gt;"Evet"),"",SUMIFS($D$2:$D$300,$A$2:$A$300,$A52,$C$2:$C$300,$C52,$E$2:$E$300,$E52,$I$2:$I$300,"Evet"))</f>
        <v/>
      </c>
      <c r="K52" s="6">
        <f>IF($E52="","",VLOOKUP($E52,Listeler!$I$2:$J$4,2,0))</f>
        <v/>
      </c>
      <c r="L52" s="6">
        <f>IF($J52="","",IF($J52&gt;$K52,"ARŞEN ONAYI GEREKLİ","Doğrudan geçer"))</f>
        <v/>
      </c>
      <c r="M52" s="6" t="n"/>
      <c r="N52" s="6" t="n"/>
      <c r="O52" s="11" t="n"/>
      <c r="P52" s="6" t="n"/>
      <c r="Q52" s="6" t="n"/>
    </row>
    <row r="53">
      <c r="A53" s="6" t="n"/>
      <c r="B53" s="6" t="n"/>
      <c r="C53" s="6" t="n"/>
      <c r="D53" s="6" t="n"/>
      <c r="E53" s="6" t="n"/>
      <c r="F53" s="11" t="n"/>
      <c r="G53" s="6" t="n"/>
      <c r="H53" s="6" t="n"/>
      <c r="I53" s="6" t="n"/>
      <c r="J53" s="6">
        <f>IF(OR($C53="",$I53&lt;&gt;"Evet"),"",SUMIFS($D$2:$D$300,$A$2:$A$300,$A53,$C$2:$C$300,$C53,$E$2:$E$300,$E53,$I$2:$I$300,"Evet"))</f>
        <v/>
      </c>
      <c r="K53" s="6">
        <f>IF($E53="","",VLOOKUP($E53,Listeler!$I$2:$J$4,2,0))</f>
        <v/>
      </c>
      <c r="L53" s="6">
        <f>IF($J53="","",IF($J53&gt;$K53,"ARŞEN ONAYI GEREKLİ","Doğrudan geçer"))</f>
        <v/>
      </c>
      <c r="M53" s="6" t="n"/>
      <c r="N53" s="6" t="n"/>
      <c r="O53" s="11" t="n"/>
      <c r="P53" s="6" t="n"/>
      <c r="Q53" s="6" t="n"/>
    </row>
    <row r="54">
      <c r="A54" s="6" t="n"/>
      <c r="B54" s="6" t="n"/>
      <c r="C54" s="6" t="n"/>
      <c r="D54" s="6" t="n"/>
      <c r="E54" s="6" t="n"/>
      <c r="F54" s="11" t="n"/>
      <c r="G54" s="6" t="n"/>
      <c r="H54" s="6" t="n"/>
      <c r="I54" s="6" t="n"/>
      <c r="J54" s="6">
        <f>IF(OR($C54="",$I54&lt;&gt;"Evet"),"",SUMIFS($D$2:$D$300,$A$2:$A$300,$A54,$C$2:$C$300,$C54,$E$2:$E$300,$E54,$I$2:$I$300,"Evet"))</f>
        <v/>
      </c>
      <c r="K54" s="6">
        <f>IF($E54="","",VLOOKUP($E54,Listeler!$I$2:$J$4,2,0))</f>
        <v/>
      </c>
      <c r="L54" s="6">
        <f>IF($J54="","",IF($J54&gt;$K54,"ARŞEN ONAYI GEREKLİ","Doğrudan geçer"))</f>
        <v/>
      </c>
      <c r="M54" s="6" t="n"/>
      <c r="N54" s="6" t="n"/>
      <c r="O54" s="11" t="n"/>
      <c r="P54" s="6" t="n"/>
      <c r="Q54" s="6" t="n"/>
    </row>
    <row r="55">
      <c r="A55" s="6" t="n"/>
      <c r="B55" s="6" t="n"/>
      <c r="C55" s="6" t="n"/>
      <c r="D55" s="6" t="n"/>
      <c r="E55" s="6" t="n"/>
      <c r="F55" s="11" t="n"/>
      <c r="G55" s="6" t="n"/>
      <c r="H55" s="6" t="n"/>
      <c r="I55" s="6" t="n"/>
      <c r="J55" s="6">
        <f>IF(OR($C55="",$I55&lt;&gt;"Evet"),"",SUMIFS($D$2:$D$300,$A$2:$A$300,$A55,$C$2:$C$300,$C55,$E$2:$E$300,$E55,$I$2:$I$300,"Evet"))</f>
        <v/>
      </c>
      <c r="K55" s="6">
        <f>IF($E55="","",VLOOKUP($E55,Listeler!$I$2:$J$4,2,0))</f>
        <v/>
      </c>
      <c r="L55" s="6">
        <f>IF($J55="","",IF($J55&gt;$K55,"ARŞEN ONAYI GEREKLİ","Doğrudan geçer"))</f>
        <v/>
      </c>
      <c r="M55" s="6" t="n"/>
      <c r="N55" s="6" t="n"/>
      <c r="O55" s="11" t="n"/>
      <c r="P55" s="6" t="n"/>
      <c r="Q55" s="6" t="n"/>
    </row>
    <row r="56">
      <c r="A56" s="6" t="n"/>
      <c r="B56" s="6" t="n"/>
      <c r="C56" s="6" t="n"/>
      <c r="D56" s="6" t="n"/>
      <c r="E56" s="6" t="n"/>
      <c r="F56" s="11" t="n"/>
      <c r="G56" s="6" t="n"/>
      <c r="H56" s="6" t="n"/>
      <c r="I56" s="6" t="n"/>
      <c r="J56" s="6">
        <f>IF(OR($C56="",$I56&lt;&gt;"Evet"),"",SUMIFS($D$2:$D$300,$A$2:$A$300,$A56,$C$2:$C$300,$C56,$E$2:$E$300,$E56,$I$2:$I$300,"Evet"))</f>
        <v/>
      </c>
      <c r="K56" s="6">
        <f>IF($E56="","",VLOOKUP($E56,Listeler!$I$2:$J$4,2,0))</f>
        <v/>
      </c>
      <c r="L56" s="6">
        <f>IF($J56="","",IF($J56&gt;$K56,"ARŞEN ONAYI GEREKLİ","Doğrudan geçer"))</f>
        <v/>
      </c>
      <c r="M56" s="6" t="n"/>
      <c r="N56" s="6" t="n"/>
      <c r="O56" s="11" t="n"/>
      <c r="P56" s="6" t="n"/>
      <c r="Q56" s="6" t="n"/>
    </row>
    <row r="57">
      <c r="A57" s="6" t="n"/>
      <c r="B57" s="6" t="n"/>
      <c r="C57" s="6" t="n"/>
      <c r="D57" s="6" t="n"/>
      <c r="E57" s="6" t="n"/>
      <c r="F57" s="11" t="n"/>
      <c r="G57" s="6" t="n"/>
      <c r="H57" s="6" t="n"/>
      <c r="I57" s="6" t="n"/>
      <c r="J57" s="6">
        <f>IF(OR($C57="",$I57&lt;&gt;"Evet"),"",SUMIFS($D$2:$D$300,$A$2:$A$300,$A57,$C$2:$C$300,$C57,$E$2:$E$300,$E57,$I$2:$I$300,"Evet"))</f>
        <v/>
      </c>
      <c r="K57" s="6">
        <f>IF($E57="","",VLOOKUP($E57,Listeler!$I$2:$J$4,2,0))</f>
        <v/>
      </c>
      <c r="L57" s="6">
        <f>IF($J57="","",IF($J57&gt;$K57,"ARŞEN ONAYI GEREKLİ","Doğrudan geçer"))</f>
        <v/>
      </c>
      <c r="M57" s="6" t="n"/>
      <c r="N57" s="6" t="n"/>
      <c r="O57" s="11" t="n"/>
      <c r="P57" s="6" t="n"/>
      <c r="Q57" s="6" t="n"/>
    </row>
    <row r="58">
      <c r="A58" s="6" t="n"/>
      <c r="B58" s="6" t="n"/>
      <c r="C58" s="6" t="n"/>
      <c r="D58" s="6" t="n"/>
      <c r="E58" s="6" t="n"/>
      <c r="F58" s="11" t="n"/>
      <c r="G58" s="6" t="n"/>
      <c r="H58" s="6" t="n"/>
      <c r="I58" s="6" t="n"/>
      <c r="J58" s="6">
        <f>IF(OR($C58="",$I58&lt;&gt;"Evet"),"",SUMIFS($D$2:$D$300,$A$2:$A$300,$A58,$C$2:$C$300,$C58,$E$2:$E$300,$E58,$I$2:$I$300,"Evet"))</f>
        <v/>
      </c>
      <c r="K58" s="6">
        <f>IF($E58="","",VLOOKUP($E58,Listeler!$I$2:$J$4,2,0))</f>
        <v/>
      </c>
      <c r="L58" s="6">
        <f>IF($J58="","",IF($J58&gt;$K58,"ARŞEN ONAYI GEREKLİ","Doğrudan geçer"))</f>
        <v/>
      </c>
      <c r="M58" s="6" t="n"/>
      <c r="N58" s="6" t="n"/>
      <c r="O58" s="11" t="n"/>
      <c r="P58" s="6" t="n"/>
      <c r="Q58" s="6" t="n"/>
    </row>
    <row r="59">
      <c r="A59" s="6" t="n"/>
      <c r="B59" s="6" t="n"/>
      <c r="C59" s="6" t="n"/>
      <c r="D59" s="6" t="n"/>
      <c r="E59" s="6" t="n"/>
      <c r="F59" s="11" t="n"/>
      <c r="G59" s="6" t="n"/>
      <c r="H59" s="6" t="n"/>
      <c r="I59" s="6" t="n"/>
      <c r="J59" s="6">
        <f>IF(OR($C59="",$I59&lt;&gt;"Evet"),"",SUMIFS($D$2:$D$300,$A$2:$A$300,$A59,$C$2:$C$300,$C59,$E$2:$E$300,$E59,$I$2:$I$300,"Evet"))</f>
        <v/>
      </c>
      <c r="K59" s="6">
        <f>IF($E59="","",VLOOKUP($E59,Listeler!$I$2:$J$4,2,0))</f>
        <v/>
      </c>
      <c r="L59" s="6">
        <f>IF($J59="","",IF($J59&gt;$K59,"ARŞEN ONAYI GEREKLİ","Doğrudan geçer"))</f>
        <v/>
      </c>
      <c r="M59" s="6" t="n"/>
      <c r="N59" s="6" t="n"/>
      <c r="O59" s="11" t="n"/>
      <c r="P59" s="6" t="n"/>
      <c r="Q59" s="6" t="n"/>
    </row>
    <row r="60">
      <c r="A60" s="6" t="n"/>
      <c r="B60" s="6" t="n"/>
      <c r="C60" s="6" t="n"/>
      <c r="D60" s="6" t="n"/>
      <c r="E60" s="6" t="n"/>
      <c r="F60" s="11" t="n"/>
      <c r="G60" s="6" t="n"/>
      <c r="H60" s="6" t="n"/>
      <c r="I60" s="6" t="n"/>
      <c r="J60" s="6">
        <f>IF(OR($C60="",$I60&lt;&gt;"Evet"),"",SUMIFS($D$2:$D$300,$A$2:$A$300,$A60,$C$2:$C$300,$C60,$E$2:$E$300,$E60,$I$2:$I$300,"Evet"))</f>
        <v/>
      </c>
      <c r="K60" s="6">
        <f>IF($E60="","",VLOOKUP($E60,Listeler!$I$2:$J$4,2,0))</f>
        <v/>
      </c>
      <c r="L60" s="6">
        <f>IF($J60="","",IF($J60&gt;$K60,"ARŞEN ONAYI GEREKLİ","Doğrudan geçer"))</f>
        <v/>
      </c>
      <c r="M60" s="6" t="n"/>
      <c r="N60" s="6" t="n"/>
      <c r="O60" s="11" t="n"/>
      <c r="P60" s="6" t="n"/>
      <c r="Q60" s="6" t="n"/>
    </row>
    <row r="61">
      <c r="A61" s="6" t="n"/>
      <c r="B61" s="6" t="n"/>
      <c r="C61" s="6" t="n"/>
      <c r="D61" s="6" t="n"/>
      <c r="E61" s="6" t="n"/>
      <c r="F61" s="11" t="n"/>
      <c r="G61" s="6" t="n"/>
      <c r="H61" s="6" t="n"/>
      <c r="I61" s="6" t="n"/>
      <c r="J61" s="6">
        <f>IF(OR($C61="",$I61&lt;&gt;"Evet"),"",SUMIFS($D$2:$D$300,$A$2:$A$300,$A61,$C$2:$C$300,$C61,$E$2:$E$300,$E61,$I$2:$I$300,"Evet"))</f>
        <v/>
      </c>
      <c r="K61" s="6">
        <f>IF($E61="","",VLOOKUP($E61,Listeler!$I$2:$J$4,2,0))</f>
        <v/>
      </c>
      <c r="L61" s="6">
        <f>IF($J61="","",IF($J61&gt;$K61,"ARŞEN ONAYI GEREKLİ","Doğrudan geçer"))</f>
        <v/>
      </c>
      <c r="M61" s="6" t="n"/>
      <c r="N61" s="6" t="n"/>
      <c r="O61" s="11" t="n"/>
      <c r="P61" s="6" t="n"/>
      <c r="Q61" s="6" t="n"/>
    </row>
    <row r="62">
      <c r="A62" s="6" t="n"/>
      <c r="B62" s="6" t="n"/>
      <c r="C62" s="6" t="n"/>
      <c r="D62" s="6" t="n"/>
      <c r="E62" s="6" t="n"/>
      <c r="F62" s="11" t="n"/>
      <c r="G62" s="6" t="n"/>
      <c r="H62" s="6" t="n"/>
      <c r="I62" s="6" t="n"/>
      <c r="J62" s="6">
        <f>IF(OR($C62="",$I62&lt;&gt;"Evet"),"",SUMIFS($D$2:$D$300,$A$2:$A$300,$A62,$C$2:$C$300,$C62,$E$2:$E$300,$E62,$I$2:$I$300,"Evet"))</f>
        <v/>
      </c>
      <c r="K62" s="6">
        <f>IF($E62="","",VLOOKUP($E62,Listeler!$I$2:$J$4,2,0))</f>
        <v/>
      </c>
      <c r="L62" s="6">
        <f>IF($J62="","",IF($J62&gt;$K62,"ARŞEN ONAYI GEREKLİ","Doğrudan geçer"))</f>
        <v/>
      </c>
      <c r="M62" s="6" t="n"/>
      <c r="N62" s="6" t="n"/>
      <c r="O62" s="11" t="n"/>
      <c r="P62" s="6" t="n"/>
      <c r="Q62" s="6" t="n"/>
    </row>
    <row r="63">
      <c r="A63" s="6" t="n"/>
      <c r="B63" s="6" t="n"/>
      <c r="C63" s="6" t="n"/>
      <c r="D63" s="6" t="n"/>
      <c r="E63" s="6" t="n"/>
      <c r="F63" s="11" t="n"/>
      <c r="G63" s="6" t="n"/>
      <c r="H63" s="6" t="n"/>
      <c r="I63" s="6" t="n"/>
      <c r="J63" s="6">
        <f>IF(OR($C63="",$I63&lt;&gt;"Evet"),"",SUMIFS($D$2:$D$300,$A$2:$A$300,$A63,$C$2:$C$300,$C63,$E$2:$E$300,$E63,$I$2:$I$300,"Evet"))</f>
        <v/>
      </c>
      <c r="K63" s="6">
        <f>IF($E63="","",VLOOKUP($E63,Listeler!$I$2:$J$4,2,0))</f>
        <v/>
      </c>
      <c r="L63" s="6">
        <f>IF($J63="","",IF($J63&gt;$K63,"ARŞEN ONAYI GEREKLİ","Doğrudan geçer"))</f>
        <v/>
      </c>
      <c r="M63" s="6" t="n"/>
      <c r="N63" s="6" t="n"/>
      <c r="O63" s="11" t="n"/>
      <c r="P63" s="6" t="n"/>
      <c r="Q63" s="6" t="n"/>
    </row>
    <row r="64">
      <c r="A64" s="6" t="n"/>
      <c r="B64" s="6" t="n"/>
      <c r="C64" s="6" t="n"/>
      <c r="D64" s="6" t="n"/>
      <c r="E64" s="6" t="n"/>
      <c r="F64" s="11" t="n"/>
      <c r="G64" s="6" t="n"/>
      <c r="H64" s="6" t="n"/>
      <c r="I64" s="6" t="n"/>
      <c r="J64" s="6">
        <f>IF(OR($C64="",$I64&lt;&gt;"Evet"),"",SUMIFS($D$2:$D$300,$A$2:$A$300,$A64,$C$2:$C$300,$C64,$E$2:$E$300,$E64,$I$2:$I$300,"Evet"))</f>
        <v/>
      </c>
      <c r="K64" s="6">
        <f>IF($E64="","",VLOOKUP($E64,Listeler!$I$2:$J$4,2,0))</f>
        <v/>
      </c>
      <c r="L64" s="6">
        <f>IF($J64="","",IF($J64&gt;$K64,"ARŞEN ONAYI GEREKLİ","Doğrudan geçer"))</f>
        <v/>
      </c>
      <c r="M64" s="6" t="n"/>
      <c r="N64" s="6" t="n"/>
      <c r="O64" s="11" t="n"/>
      <c r="P64" s="6" t="n"/>
      <c r="Q64" s="6" t="n"/>
    </row>
    <row r="65">
      <c r="A65" s="6" t="n"/>
      <c r="B65" s="6" t="n"/>
      <c r="C65" s="6" t="n"/>
      <c r="D65" s="6" t="n"/>
      <c r="E65" s="6" t="n"/>
      <c r="F65" s="11" t="n"/>
      <c r="G65" s="6" t="n"/>
      <c r="H65" s="6" t="n"/>
      <c r="I65" s="6" t="n"/>
      <c r="J65" s="6">
        <f>IF(OR($C65="",$I65&lt;&gt;"Evet"),"",SUMIFS($D$2:$D$300,$A$2:$A$300,$A65,$C$2:$C$300,$C65,$E$2:$E$300,$E65,$I$2:$I$300,"Evet"))</f>
        <v/>
      </c>
      <c r="K65" s="6">
        <f>IF($E65="","",VLOOKUP($E65,Listeler!$I$2:$J$4,2,0))</f>
        <v/>
      </c>
      <c r="L65" s="6">
        <f>IF($J65="","",IF($J65&gt;$K65,"ARŞEN ONAYI GEREKLİ","Doğrudan geçer"))</f>
        <v/>
      </c>
      <c r="M65" s="6" t="n"/>
      <c r="N65" s="6" t="n"/>
      <c r="O65" s="11" t="n"/>
      <c r="P65" s="6" t="n"/>
      <c r="Q65" s="6" t="n"/>
    </row>
    <row r="66">
      <c r="A66" s="6" t="n"/>
      <c r="B66" s="6" t="n"/>
      <c r="C66" s="6" t="n"/>
      <c r="D66" s="6" t="n"/>
      <c r="E66" s="6" t="n"/>
      <c r="F66" s="11" t="n"/>
      <c r="G66" s="6" t="n"/>
      <c r="H66" s="6" t="n"/>
      <c r="I66" s="6" t="n"/>
      <c r="J66" s="6">
        <f>IF(OR($C66="",$I66&lt;&gt;"Evet"),"",SUMIFS($D$2:$D$300,$A$2:$A$300,$A66,$C$2:$C$300,$C66,$E$2:$E$300,$E66,$I$2:$I$300,"Evet"))</f>
        <v/>
      </c>
      <c r="K66" s="6">
        <f>IF($E66="","",VLOOKUP($E66,Listeler!$I$2:$J$4,2,0))</f>
        <v/>
      </c>
      <c r="L66" s="6">
        <f>IF($J66="","",IF($J66&gt;$K66,"ARŞEN ONAYI GEREKLİ","Doğrudan geçer"))</f>
        <v/>
      </c>
      <c r="M66" s="6" t="n"/>
      <c r="N66" s="6" t="n"/>
      <c r="O66" s="11" t="n"/>
      <c r="P66" s="6" t="n"/>
      <c r="Q66" s="6" t="n"/>
    </row>
    <row r="67">
      <c r="A67" s="6" t="n"/>
      <c r="B67" s="6" t="n"/>
      <c r="C67" s="6" t="n"/>
      <c r="D67" s="6" t="n"/>
      <c r="E67" s="6" t="n"/>
      <c r="F67" s="11" t="n"/>
      <c r="G67" s="6" t="n"/>
      <c r="H67" s="6" t="n"/>
      <c r="I67" s="6" t="n"/>
      <c r="J67" s="6">
        <f>IF(OR($C67="",$I67&lt;&gt;"Evet"),"",SUMIFS($D$2:$D$300,$A$2:$A$300,$A67,$C$2:$C$300,$C67,$E$2:$E$300,$E67,$I$2:$I$300,"Evet"))</f>
        <v/>
      </c>
      <c r="K67" s="6">
        <f>IF($E67="","",VLOOKUP($E67,Listeler!$I$2:$J$4,2,0))</f>
        <v/>
      </c>
      <c r="L67" s="6">
        <f>IF($J67="","",IF($J67&gt;$K67,"ARŞEN ONAYI GEREKLİ","Doğrudan geçer"))</f>
        <v/>
      </c>
      <c r="M67" s="6" t="n"/>
      <c r="N67" s="6" t="n"/>
      <c r="O67" s="11" t="n"/>
      <c r="P67" s="6" t="n"/>
      <c r="Q67" s="6" t="n"/>
    </row>
    <row r="68">
      <c r="A68" s="6" t="n"/>
      <c r="B68" s="6" t="n"/>
      <c r="C68" s="6" t="n"/>
      <c r="D68" s="6" t="n"/>
      <c r="E68" s="6" t="n"/>
      <c r="F68" s="11" t="n"/>
      <c r="G68" s="6" t="n"/>
      <c r="H68" s="6" t="n"/>
      <c r="I68" s="6" t="n"/>
      <c r="J68" s="6">
        <f>IF(OR($C68="",$I68&lt;&gt;"Evet"),"",SUMIFS($D$2:$D$300,$A$2:$A$300,$A68,$C$2:$C$300,$C68,$E$2:$E$300,$E68,$I$2:$I$300,"Evet"))</f>
        <v/>
      </c>
      <c r="K68" s="6">
        <f>IF($E68="","",VLOOKUP($E68,Listeler!$I$2:$J$4,2,0))</f>
        <v/>
      </c>
      <c r="L68" s="6">
        <f>IF($J68="","",IF($J68&gt;$K68,"ARŞEN ONAYI GEREKLİ","Doğrudan geçer"))</f>
        <v/>
      </c>
      <c r="M68" s="6" t="n"/>
      <c r="N68" s="6" t="n"/>
      <c r="O68" s="11" t="n"/>
      <c r="P68" s="6" t="n"/>
      <c r="Q68" s="6" t="n"/>
    </row>
    <row r="69">
      <c r="A69" s="6" t="n"/>
      <c r="B69" s="6" t="n"/>
      <c r="C69" s="6" t="n"/>
      <c r="D69" s="6" t="n"/>
      <c r="E69" s="6" t="n"/>
      <c r="F69" s="11" t="n"/>
      <c r="G69" s="6" t="n"/>
      <c r="H69" s="6" t="n"/>
      <c r="I69" s="6" t="n"/>
      <c r="J69" s="6">
        <f>IF(OR($C69="",$I69&lt;&gt;"Evet"),"",SUMIFS($D$2:$D$300,$A$2:$A$300,$A69,$C$2:$C$300,$C69,$E$2:$E$300,$E69,$I$2:$I$300,"Evet"))</f>
        <v/>
      </c>
      <c r="K69" s="6">
        <f>IF($E69="","",VLOOKUP($E69,Listeler!$I$2:$J$4,2,0))</f>
        <v/>
      </c>
      <c r="L69" s="6">
        <f>IF($J69="","",IF($J69&gt;$K69,"ARŞEN ONAYI GEREKLİ","Doğrudan geçer"))</f>
        <v/>
      </c>
      <c r="M69" s="6" t="n"/>
      <c r="N69" s="6" t="n"/>
      <c r="O69" s="11" t="n"/>
      <c r="P69" s="6" t="n"/>
      <c r="Q69" s="6" t="n"/>
    </row>
    <row r="70">
      <c r="A70" s="6" t="n"/>
      <c r="B70" s="6" t="n"/>
      <c r="C70" s="6" t="n"/>
      <c r="D70" s="6" t="n"/>
      <c r="E70" s="6" t="n"/>
      <c r="F70" s="11" t="n"/>
      <c r="G70" s="6" t="n"/>
      <c r="H70" s="6" t="n"/>
      <c r="I70" s="6" t="n"/>
      <c r="J70" s="6">
        <f>IF(OR($C70="",$I70&lt;&gt;"Evet"),"",SUMIFS($D$2:$D$300,$A$2:$A$300,$A70,$C$2:$C$300,$C70,$E$2:$E$300,$E70,$I$2:$I$300,"Evet"))</f>
        <v/>
      </c>
      <c r="K70" s="6">
        <f>IF($E70="","",VLOOKUP($E70,Listeler!$I$2:$J$4,2,0))</f>
        <v/>
      </c>
      <c r="L70" s="6">
        <f>IF($J70="","",IF($J70&gt;$K70,"ARŞEN ONAYI GEREKLİ","Doğrudan geçer"))</f>
        <v/>
      </c>
      <c r="M70" s="6" t="n"/>
      <c r="N70" s="6" t="n"/>
      <c r="O70" s="11" t="n"/>
      <c r="P70" s="6" t="n"/>
      <c r="Q70" s="6" t="n"/>
    </row>
    <row r="71">
      <c r="A71" s="6" t="n"/>
      <c r="B71" s="6" t="n"/>
      <c r="C71" s="6" t="n"/>
      <c r="D71" s="6" t="n"/>
      <c r="E71" s="6" t="n"/>
      <c r="F71" s="11" t="n"/>
      <c r="G71" s="6" t="n"/>
      <c r="H71" s="6" t="n"/>
      <c r="I71" s="6" t="n"/>
      <c r="J71" s="6">
        <f>IF(OR($C71="",$I71&lt;&gt;"Evet"),"",SUMIFS($D$2:$D$300,$A$2:$A$300,$A71,$C$2:$C$300,$C71,$E$2:$E$300,$E71,$I$2:$I$300,"Evet"))</f>
        <v/>
      </c>
      <c r="K71" s="6">
        <f>IF($E71="","",VLOOKUP($E71,Listeler!$I$2:$J$4,2,0))</f>
        <v/>
      </c>
      <c r="L71" s="6">
        <f>IF($J71="","",IF($J71&gt;$K71,"ARŞEN ONAYI GEREKLİ","Doğrudan geçer"))</f>
        <v/>
      </c>
      <c r="M71" s="6" t="n"/>
      <c r="N71" s="6" t="n"/>
      <c r="O71" s="11" t="n"/>
      <c r="P71" s="6" t="n"/>
      <c r="Q71" s="6" t="n"/>
    </row>
    <row r="72">
      <c r="A72" s="6" t="n"/>
      <c r="B72" s="6" t="n"/>
      <c r="C72" s="6" t="n"/>
      <c r="D72" s="6" t="n"/>
      <c r="E72" s="6" t="n"/>
      <c r="F72" s="11" t="n"/>
      <c r="G72" s="6" t="n"/>
      <c r="H72" s="6" t="n"/>
      <c r="I72" s="6" t="n"/>
      <c r="J72" s="6">
        <f>IF(OR($C72="",$I72&lt;&gt;"Evet"),"",SUMIFS($D$2:$D$300,$A$2:$A$300,$A72,$C$2:$C$300,$C72,$E$2:$E$300,$E72,$I$2:$I$300,"Evet"))</f>
        <v/>
      </c>
      <c r="K72" s="6">
        <f>IF($E72="","",VLOOKUP($E72,Listeler!$I$2:$J$4,2,0))</f>
        <v/>
      </c>
      <c r="L72" s="6">
        <f>IF($J72="","",IF($J72&gt;$K72,"ARŞEN ONAYI GEREKLİ","Doğrudan geçer"))</f>
        <v/>
      </c>
      <c r="M72" s="6" t="n"/>
      <c r="N72" s="6" t="n"/>
      <c r="O72" s="11" t="n"/>
      <c r="P72" s="6" t="n"/>
      <c r="Q72" s="6" t="n"/>
    </row>
    <row r="73">
      <c r="A73" s="6" t="n"/>
      <c r="B73" s="6" t="n"/>
      <c r="C73" s="6" t="n"/>
      <c r="D73" s="6" t="n"/>
      <c r="E73" s="6" t="n"/>
      <c r="F73" s="11" t="n"/>
      <c r="G73" s="6" t="n"/>
      <c r="H73" s="6" t="n"/>
      <c r="I73" s="6" t="n"/>
      <c r="J73" s="6">
        <f>IF(OR($C73="",$I73&lt;&gt;"Evet"),"",SUMIFS($D$2:$D$300,$A$2:$A$300,$A73,$C$2:$C$300,$C73,$E$2:$E$300,$E73,$I$2:$I$300,"Evet"))</f>
        <v/>
      </c>
      <c r="K73" s="6">
        <f>IF($E73="","",VLOOKUP($E73,Listeler!$I$2:$J$4,2,0))</f>
        <v/>
      </c>
      <c r="L73" s="6">
        <f>IF($J73="","",IF($J73&gt;$K73,"ARŞEN ONAYI GEREKLİ","Doğrudan geçer"))</f>
        <v/>
      </c>
      <c r="M73" s="6" t="n"/>
      <c r="N73" s="6" t="n"/>
      <c r="O73" s="11" t="n"/>
      <c r="P73" s="6" t="n"/>
      <c r="Q73" s="6" t="n"/>
    </row>
    <row r="74">
      <c r="A74" s="6" t="n"/>
      <c r="B74" s="6" t="n"/>
      <c r="C74" s="6" t="n"/>
      <c r="D74" s="6" t="n"/>
      <c r="E74" s="6" t="n"/>
      <c r="F74" s="11" t="n"/>
      <c r="G74" s="6" t="n"/>
      <c r="H74" s="6" t="n"/>
      <c r="I74" s="6" t="n"/>
      <c r="J74" s="6">
        <f>IF(OR($C74="",$I74&lt;&gt;"Evet"),"",SUMIFS($D$2:$D$300,$A$2:$A$300,$A74,$C$2:$C$300,$C74,$E$2:$E$300,$E74,$I$2:$I$300,"Evet"))</f>
        <v/>
      </c>
      <c r="K74" s="6">
        <f>IF($E74="","",VLOOKUP($E74,Listeler!$I$2:$J$4,2,0))</f>
        <v/>
      </c>
      <c r="L74" s="6">
        <f>IF($J74="","",IF($J74&gt;$K74,"ARŞEN ONAYI GEREKLİ","Doğrudan geçer"))</f>
        <v/>
      </c>
      <c r="M74" s="6" t="n"/>
      <c r="N74" s="6" t="n"/>
      <c r="O74" s="11" t="n"/>
      <c r="P74" s="6" t="n"/>
      <c r="Q74" s="6" t="n"/>
    </row>
    <row r="75">
      <c r="A75" s="6" t="n"/>
      <c r="B75" s="6" t="n"/>
      <c r="C75" s="6" t="n"/>
      <c r="D75" s="6" t="n"/>
      <c r="E75" s="6" t="n"/>
      <c r="F75" s="11" t="n"/>
      <c r="G75" s="6" t="n"/>
      <c r="H75" s="6" t="n"/>
      <c r="I75" s="6" t="n"/>
      <c r="J75" s="6">
        <f>IF(OR($C75="",$I75&lt;&gt;"Evet"),"",SUMIFS($D$2:$D$300,$A$2:$A$300,$A75,$C$2:$C$300,$C75,$E$2:$E$300,$E75,$I$2:$I$300,"Evet"))</f>
        <v/>
      </c>
      <c r="K75" s="6">
        <f>IF($E75="","",VLOOKUP($E75,Listeler!$I$2:$J$4,2,0))</f>
        <v/>
      </c>
      <c r="L75" s="6">
        <f>IF($J75="","",IF($J75&gt;$K75,"ARŞEN ONAYI GEREKLİ","Doğrudan geçer"))</f>
        <v/>
      </c>
      <c r="M75" s="6" t="n"/>
      <c r="N75" s="6" t="n"/>
      <c r="O75" s="11" t="n"/>
      <c r="P75" s="6" t="n"/>
      <c r="Q75" s="6" t="n"/>
    </row>
    <row r="76">
      <c r="A76" s="6" t="n"/>
      <c r="B76" s="6" t="n"/>
      <c r="C76" s="6" t="n"/>
      <c r="D76" s="6" t="n"/>
      <c r="E76" s="6" t="n"/>
      <c r="F76" s="11" t="n"/>
      <c r="G76" s="6" t="n"/>
      <c r="H76" s="6" t="n"/>
      <c r="I76" s="6" t="n"/>
      <c r="J76" s="6">
        <f>IF(OR($C76="",$I76&lt;&gt;"Evet"),"",SUMIFS($D$2:$D$300,$A$2:$A$300,$A76,$C$2:$C$300,$C76,$E$2:$E$300,$E76,$I$2:$I$300,"Evet"))</f>
        <v/>
      </c>
      <c r="K76" s="6">
        <f>IF($E76="","",VLOOKUP($E76,Listeler!$I$2:$J$4,2,0))</f>
        <v/>
      </c>
      <c r="L76" s="6">
        <f>IF($J76="","",IF($J76&gt;$K76,"ARŞEN ONAYI GEREKLİ","Doğrudan geçer"))</f>
        <v/>
      </c>
      <c r="M76" s="6" t="n"/>
      <c r="N76" s="6" t="n"/>
      <c r="O76" s="11" t="n"/>
      <c r="P76" s="6" t="n"/>
      <c r="Q76" s="6" t="n"/>
    </row>
    <row r="77">
      <c r="A77" s="6" t="n"/>
      <c r="B77" s="6" t="n"/>
      <c r="C77" s="6" t="n"/>
      <c r="D77" s="6" t="n"/>
      <c r="E77" s="6" t="n"/>
      <c r="F77" s="11" t="n"/>
      <c r="G77" s="6" t="n"/>
      <c r="H77" s="6" t="n"/>
      <c r="I77" s="6" t="n"/>
      <c r="J77" s="6">
        <f>IF(OR($C77="",$I77&lt;&gt;"Evet"),"",SUMIFS($D$2:$D$300,$A$2:$A$300,$A77,$C$2:$C$300,$C77,$E$2:$E$300,$E77,$I$2:$I$300,"Evet"))</f>
        <v/>
      </c>
      <c r="K77" s="6">
        <f>IF($E77="","",VLOOKUP($E77,Listeler!$I$2:$J$4,2,0))</f>
        <v/>
      </c>
      <c r="L77" s="6">
        <f>IF($J77="","",IF($J77&gt;$K77,"ARŞEN ONAYI GEREKLİ","Doğrudan geçer"))</f>
        <v/>
      </c>
      <c r="M77" s="6" t="n"/>
      <c r="N77" s="6" t="n"/>
      <c r="O77" s="11" t="n"/>
      <c r="P77" s="6" t="n"/>
      <c r="Q77" s="6" t="n"/>
    </row>
    <row r="78">
      <c r="A78" s="6" t="n"/>
      <c r="B78" s="6" t="n"/>
      <c r="C78" s="6" t="n"/>
      <c r="D78" s="6" t="n"/>
      <c r="E78" s="6" t="n"/>
      <c r="F78" s="11" t="n"/>
      <c r="G78" s="6" t="n"/>
      <c r="H78" s="6" t="n"/>
      <c r="I78" s="6" t="n"/>
      <c r="J78" s="6">
        <f>IF(OR($C78="",$I78&lt;&gt;"Evet"),"",SUMIFS($D$2:$D$300,$A$2:$A$300,$A78,$C$2:$C$300,$C78,$E$2:$E$300,$E78,$I$2:$I$300,"Evet"))</f>
        <v/>
      </c>
      <c r="K78" s="6">
        <f>IF($E78="","",VLOOKUP($E78,Listeler!$I$2:$J$4,2,0))</f>
        <v/>
      </c>
      <c r="L78" s="6">
        <f>IF($J78="","",IF($J78&gt;$K78,"ARŞEN ONAYI GEREKLİ","Doğrudan geçer"))</f>
        <v/>
      </c>
      <c r="M78" s="6" t="n"/>
      <c r="N78" s="6" t="n"/>
      <c r="O78" s="11" t="n"/>
      <c r="P78" s="6" t="n"/>
      <c r="Q78" s="6" t="n"/>
    </row>
    <row r="79">
      <c r="A79" s="6" t="n"/>
      <c r="B79" s="6" t="n"/>
      <c r="C79" s="6" t="n"/>
      <c r="D79" s="6" t="n"/>
      <c r="E79" s="6" t="n"/>
      <c r="F79" s="11" t="n"/>
      <c r="G79" s="6" t="n"/>
      <c r="H79" s="6" t="n"/>
      <c r="I79" s="6" t="n"/>
      <c r="J79" s="6">
        <f>IF(OR($C79="",$I79&lt;&gt;"Evet"),"",SUMIFS($D$2:$D$300,$A$2:$A$300,$A79,$C$2:$C$300,$C79,$E$2:$E$300,$E79,$I$2:$I$300,"Evet"))</f>
        <v/>
      </c>
      <c r="K79" s="6">
        <f>IF($E79="","",VLOOKUP($E79,Listeler!$I$2:$J$4,2,0))</f>
        <v/>
      </c>
      <c r="L79" s="6">
        <f>IF($J79="","",IF($J79&gt;$K79,"ARŞEN ONAYI GEREKLİ","Doğrudan geçer"))</f>
        <v/>
      </c>
      <c r="M79" s="6" t="n"/>
      <c r="N79" s="6" t="n"/>
      <c r="O79" s="11" t="n"/>
      <c r="P79" s="6" t="n"/>
      <c r="Q79" s="6" t="n"/>
    </row>
    <row r="80">
      <c r="A80" s="6" t="n"/>
      <c r="B80" s="6" t="n"/>
      <c r="C80" s="6" t="n"/>
      <c r="D80" s="6" t="n"/>
      <c r="E80" s="6" t="n"/>
      <c r="F80" s="11" t="n"/>
      <c r="G80" s="6" t="n"/>
      <c r="H80" s="6" t="n"/>
      <c r="I80" s="6" t="n"/>
      <c r="J80" s="6">
        <f>IF(OR($C80="",$I80&lt;&gt;"Evet"),"",SUMIFS($D$2:$D$300,$A$2:$A$300,$A80,$C$2:$C$300,$C80,$E$2:$E$300,$E80,$I$2:$I$300,"Evet"))</f>
        <v/>
      </c>
      <c r="K80" s="6">
        <f>IF($E80="","",VLOOKUP($E80,Listeler!$I$2:$J$4,2,0))</f>
        <v/>
      </c>
      <c r="L80" s="6">
        <f>IF($J80="","",IF($J80&gt;$K80,"ARŞEN ONAYI GEREKLİ","Doğrudan geçer"))</f>
        <v/>
      </c>
      <c r="M80" s="6" t="n"/>
      <c r="N80" s="6" t="n"/>
      <c r="O80" s="11" t="n"/>
      <c r="P80" s="6" t="n"/>
      <c r="Q80" s="6" t="n"/>
    </row>
    <row r="81">
      <c r="A81" s="6" t="n"/>
      <c r="B81" s="6" t="n"/>
      <c r="C81" s="6" t="n"/>
      <c r="D81" s="6" t="n"/>
      <c r="E81" s="6" t="n"/>
      <c r="F81" s="11" t="n"/>
      <c r="G81" s="6" t="n"/>
      <c r="H81" s="6" t="n"/>
      <c r="I81" s="6" t="n"/>
      <c r="J81" s="6">
        <f>IF(OR($C81="",$I81&lt;&gt;"Evet"),"",SUMIFS($D$2:$D$300,$A$2:$A$300,$A81,$C$2:$C$300,$C81,$E$2:$E$300,$E81,$I$2:$I$300,"Evet"))</f>
        <v/>
      </c>
      <c r="K81" s="6">
        <f>IF($E81="","",VLOOKUP($E81,Listeler!$I$2:$J$4,2,0))</f>
        <v/>
      </c>
      <c r="L81" s="6">
        <f>IF($J81="","",IF($J81&gt;$K81,"ARŞEN ONAYI GEREKLİ","Doğrudan geçer"))</f>
        <v/>
      </c>
      <c r="M81" s="6" t="n"/>
      <c r="N81" s="6" t="n"/>
      <c r="O81" s="11" t="n"/>
      <c r="P81" s="6" t="n"/>
      <c r="Q81" s="6" t="n"/>
    </row>
    <row r="82">
      <c r="A82" s="6" t="n"/>
      <c r="B82" s="6" t="n"/>
      <c r="C82" s="6" t="n"/>
      <c r="D82" s="6" t="n"/>
      <c r="E82" s="6" t="n"/>
      <c r="F82" s="11" t="n"/>
      <c r="G82" s="6" t="n"/>
      <c r="H82" s="6" t="n"/>
      <c r="I82" s="6" t="n"/>
      <c r="J82" s="6">
        <f>IF(OR($C82="",$I82&lt;&gt;"Evet"),"",SUMIFS($D$2:$D$300,$A$2:$A$300,$A82,$C$2:$C$300,$C82,$E$2:$E$300,$E82,$I$2:$I$300,"Evet"))</f>
        <v/>
      </c>
      <c r="K82" s="6">
        <f>IF($E82="","",VLOOKUP($E82,Listeler!$I$2:$J$4,2,0))</f>
        <v/>
      </c>
      <c r="L82" s="6">
        <f>IF($J82="","",IF($J82&gt;$K82,"ARŞEN ONAYI GEREKLİ","Doğrudan geçer"))</f>
        <v/>
      </c>
      <c r="M82" s="6" t="n"/>
      <c r="N82" s="6" t="n"/>
      <c r="O82" s="11" t="n"/>
      <c r="P82" s="6" t="n"/>
      <c r="Q82" s="6" t="n"/>
    </row>
    <row r="83">
      <c r="A83" s="6" t="n"/>
      <c r="B83" s="6" t="n"/>
      <c r="C83" s="6" t="n"/>
      <c r="D83" s="6" t="n"/>
      <c r="E83" s="6" t="n"/>
      <c r="F83" s="11" t="n"/>
      <c r="G83" s="6" t="n"/>
      <c r="H83" s="6" t="n"/>
      <c r="I83" s="6" t="n"/>
      <c r="J83" s="6">
        <f>IF(OR($C83="",$I83&lt;&gt;"Evet"),"",SUMIFS($D$2:$D$300,$A$2:$A$300,$A83,$C$2:$C$300,$C83,$E$2:$E$300,$E83,$I$2:$I$300,"Evet"))</f>
        <v/>
      </c>
      <c r="K83" s="6">
        <f>IF($E83="","",VLOOKUP($E83,Listeler!$I$2:$J$4,2,0))</f>
        <v/>
      </c>
      <c r="L83" s="6">
        <f>IF($J83="","",IF($J83&gt;$K83,"ARŞEN ONAYI GEREKLİ","Doğrudan geçer"))</f>
        <v/>
      </c>
      <c r="M83" s="6" t="n"/>
      <c r="N83" s="6" t="n"/>
      <c r="O83" s="11" t="n"/>
      <c r="P83" s="6" t="n"/>
      <c r="Q83" s="6" t="n"/>
    </row>
    <row r="84">
      <c r="A84" s="6" t="n"/>
      <c r="B84" s="6" t="n"/>
      <c r="C84" s="6" t="n"/>
      <c r="D84" s="6" t="n"/>
      <c r="E84" s="6" t="n"/>
      <c r="F84" s="11" t="n"/>
      <c r="G84" s="6" t="n"/>
      <c r="H84" s="6" t="n"/>
      <c r="I84" s="6" t="n"/>
      <c r="J84" s="6">
        <f>IF(OR($C84="",$I84&lt;&gt;"Evet"),"",SUMIFS($D$2:$D$300,$A$2:$A$300,$A84,$C$2:$C$300,$C84,$E$2:$E$300,$E84,$I$2:$I$300,"Evet"))</f>
        <v/>
      </c>
      <c r="K84" s="6">
        <f>IF($E84="","",VLOOKUP($E84,Listeler!$I$2:$J$4,2,0))</f>
        <v/>
      </c>
      <c r="L84" s="6">
        <f>IF($J84="","",IF($J84&gt;$K84,"ARŞEN ONAYI GEREKLİ","Doğrudan geçer"))</f>
        <v/>
      </c>
      <c r="M84" s="6" t="n"/>
      <c r="N84" s="6" t="n"/>
      <c r="O84" s="11" t="n"/>
      <c r="P84" s="6" t="n"/>
      <c r="Q84" s="6" t="n"/>
    </row>
    <row r="85">
      <c r="A85" s="6" t="n"/>
      <c r="B85" s="6" t="n"/>
      <c r="C85" s="6" t="n"/>
      <c r="D85" s="6" t="n"/>
      <c r="E85" s="6" t="n"/>
      <c r="F85" s="11" t="n"/>
      <c r="G85" s="6" t="n"/>
      <c r="H85" s="6" t="n"/>
      <c r="I85" s="6" t="n"/>
      <c r="J85" s="6">
        <f>IF(OR($C85="",$I85&lt;&gt;"Evet"),"",SUMIFS($D$2:$D$300,$A$2:$A$300,$A85,$C$2:$C$300,$C85,$E$2:$E$300,$E85,$I$2:$I$300,"Evet"))</f>
        <v/>
      </c>
      <c r="K85" s="6">
        <f>IF($E85="","",VLOOKUP($E85,Listeler!$I$2:$J$4,2,0))</f>
        <v/>
      </c>
      <c r="L85" s="6">
        <f>IF($J85="","",IF($J85&gt;$K85,"ARŞEN ONAYI GEREKLİ","Doğrudan geçer"))</f>
        <v/>
      </c>
      <c r="M85" s="6" t="n"/>
      <c r="N85" s="6" t="n"/>
      <c r="O85" s="11" t="n"/>
      <c r="P85" s="6" t="n"/>
      <c r="Q85" s="6" t="n"/>
    </row>
    <row r="86">
      <c r="A86" s="6" t="n"/>
      <c r="B86" s="6" t="n"/>
      <c r="C86" s="6" t="n"/>
      <c r="D86" s="6" t="n"/>
      <c r="E86" s="6" t="n"/>
      <c r="F86" s="11" t="n"/>
      <c r="G86" s="6" t="n"/>
      <c r="H86" s="6" t="n"/>
      <c r="I86" s="6" t="n"/>
      <c r="J86" s="6">
        <f>IF(OR($C86="",$I86&lt;&gt;"Evet"),"",SUMIFS($D$2:$D$300,$A$2:$A$300,$A86,$C$2:$C$300,$C86,$E$2:$E$300,$E86,$I$2:$I$300,"Evet"))</f>
        <v/>
      </c>
      <c r="K86" s="6">
        <f>IF($E86="","",VLOOKUP($E86,Listeler!$I$2:$J$4,2,0))</f>
        <v/>
      </c>
      <c r="L86" s="6">
        <f>IF($J86="","",IF($J86&gt;$K86,"ARŞEN ONAYI GEREKLİ","Doğrudan geçer"))</f>
        <v/>
      </c>
      <c r="M86" s="6" t="n"/>
      <c r="N86" s="6" t="n"/>
      <c r="O86" s="11" t="n"/>
      <c r="P86" s="6" t="n"/>
      <c r="Q86" s="6" t="n"/>
    </row>
    <row r="87">
      <c r="A87" s="6" t="n"/>
      <c r="B87" s="6" t="n"/>
      <c r="C87" s="6" t="n"/>
      <c r="D87" s="6" t="n"/>
      <c r="E87" s="6" t="n"/>
      <c r="F87" s="11" t="n"/>
      <c r="G87" s="6" t="n"/>
      <c r="H87" s="6" t="n"/>
      <c r="I87" s="6" t="n"/>
      <c r="J87" s="6">
        <f>IF(OR($C87="",$I87&lt;&gt;"Evet"),"",SUMIFS($D$2:$D$300,$A$2:$A$300,$A87,$C$2:$C$300,$C87,$E$2:$E$300,$E87,$I$2:$I$300,"Evet"))</f>
        <v/>
      </c>
      <c r="K87" s="6">
        <f>IF($E87="","",VLOOKUP($E87,Listeler!$I$2:$J$4,2,0))</f>
        <v/>
      </c>
      <c r="L87" s="6">
        <f>IF($J87="","",IF($J87&gt;$K87,"ARŞEN ONAYI GEREKLİ","Doğrudan geçer"))</f>
        <v/>
      </c>
      <c r="M87" s="6" t="n"/>
      <c r="N87" s="6" t="n"/>
      <c r="O87" s="11" t="n"/>
      <c r="P87" s="6" t="n"/>
      <c r="Q87" s="6" t="n"/>
    </row>
    <row r="88">
      <c r="A88" s="6" t="n"/>
      <c r="B88" s="6" t="n"/>
      <c r="C88" s="6" t="n"/>
      <c r="D88" s="6" t="n"/>
      <c r="E88" s="6" t="n"/>
      <c r="F88" s="11" t="n"/>
      <c r="G88" s="6" t="n"/>
      <c r="H88" s="6" t="n"/>
      <c r="I88" s="6" t="n"/>
      <c r="J88" s="6">
        <f>IF(OR($C88="",$I88&lt;&gt;"Evet"),"",SUMIFS($D$2:$D$300,$A$2:$A$300,$A88,$C$2:$C$300,$C88,$E$2:$E$300,$E88,$I$2:$I$300,"Evet"))</f>
        <v/>
      </c>
      <c r="K88" s="6">
        <f>IF($E88="","",VLOOKUP($E88,Listeler!$I$2:$J$4,2,0))</f>
        <v/>
      </c>
      <c r="L88" s="6">
        <f>IF($J88="","",IF($J88&gt;$K88,"ARŞEN ONAYI GEREKLİ","Doğrudan geçer"))</f>
        <v/>
      </c>
      <c r="M88" s="6" t="n"/>
      <c r="N88" s="6" t="n"/>
      <c r="O88" s="11" t="n"/>
      <c r="P88" s="6" t="n"/>
      <c r="Q88" s="6" t="n"/>
    </row>
    <row r="89">
      <c r="A89" s="6" t="n"/>
      <c r="B89" s="6" t="n"/>
      <c r="C89" s="6" t="n"/>
      <c r="D89" s="6" t="n"/>
      <c r="E89" s="6" t="n"/>
      <c r="F89" s="11" t="n"/>
      <c r="G89" s="6" t="n"/>
      <c r="H89" s="6" t="n"/>
      <c r="I89" s="6" t="n"/>
      <c r="J89" s="6">
        <f>IF(OR($C89="",$I89&lt;&gt;"Evet"),"",SUMIFS($D$2:$D$300,$A$2:$A$300,$A89,$C$2:$C$300,$C89,$E$2:$E$300,$E89,$I$2:$I$300,"Evet"))</f>
        <v/>
      </c>
      <c r="K89" s="6">
        <f>IF($E89="","",VLOOKUP($E89,Listeler!$I$2:$J$4,2,0))</f>
        <v/>
      </c>
      <c r="L89" s="6">
        <f>IF($J89="","",IF($J89&gt;$K89,"ARŞEN ONAYI GEREKLİ","Doğrudan geçer"))</f>
        <v/>
      </c>
      <c r="M89" s="6" t="n"/>
      <c r="N89" s="6" t="n"/>
      <c r="O89" s="11" t="n"/>
      <c r="P89" s="6" t="n"/>
      <c r="Q89" s="6" t="n"/>
    </row>
    <row r="90">
      <c r="A90" s="6" t="n"/>
      <c r="B90" s="6" t="n"/>
      <c r="C90" s="6" t="n"/>
      <c r="D90" s="6" t="n"/>
      <c r="E90" s="6" t="n"/>
      <c r="F90" s="11" t="n"/>
      <c r="G90" s="6" t="n"/>
      <c r="H90" s="6" t="n"/>
      <c r="I90" s="6" t="n"/>
      <c r="J90" s="6">
        <f>IF(OR($C90="",$I90&lt;&gt;"Evet"),"",SUMIFS($D$2:$D$300,$A$2:$A$300,$A90,$C$2:$C$300,$C90,$E$2:$E$300,$E90,$I$2:$I$300,"Evet"))</f>
        <v/>
      </c>
      <c r="K90" s="6">
        <f>IF($E90="","",VLOOKUP($E90,Listeler!$I$2:$J$4,2,0))</f>
        <v/>
      </c>
      <c r="L90" s="6">
        <f>IF($J90="","",IF($J90&gt;$K90,"ARŞEN ONAYI GEREKLİ","Doğrudan geçer"))</f>
        <v/>
      </c>
      <c r="M90" s="6" t="n"/>
      <c r="N90" s="6" t="n"/>
      <c r="O90" s="11" t="n"/>
      <c r="P90" s="6" t="n"/>
      <c r="Q90" s="6" t="n"/>
    </row>
    <row r="91">
      <c r="A91" s="6" t="n"/>
      <c r="B91" s="6" t="n"/>
      <c r="C91" s="6" t="n"/>
      <c r="D91" s="6" t="n"/>
      <c r="E91" s="6" t="n"/>
      <c r="F91" s="11" t="n"/>
      <c r="G91" s="6" t="n"/>
      <c r="H91" s="6" t="n"/>
      <c r="I91" s="6" t="n"/>
      <c r="J91" s="6">
        <f>IF(OR($C91="",$I91&lt;&gt;"Evet"),"",SUMIFS($D$2:$D$300,$A$2:$A$300,$A91,$C$2:$C$300,$C91,$E$2:$E$300,$E91,$I$2:$I$300,"Evet"))</f>
        <v/>
      </c>
      <c r="K91" s="6">
        <f>IF($E91="","",VLOOKUP($E91,Listeler!$I$2:$J$4,2,0))</f>
        <v/>
      </c>
      <c r="L91" s="6">
        <f>IF($J91="","",IF($J91&gt;$K91,"ARŞEN ONAYI GEREKLİ","Doğrudan geçer"))</f>
        <v/>
      </c>
      <c r="M91" s="6" t="n"/>
      <c r="N91" s="6" t="n"/>
      <c r="O91" s="11" t="n"/>
      <c r="P91" s="6" t="n"/>
      <c r="Q91" s="6" t="n"/>
    </row>
    <row r="92">
      <c r="A92" s="6" t="n"/>
      <c r="B92" s="6" t="n"/>
      <c r="C92" s="6" t="n"/>
      <c r="D92" s="6" t="n"/>
      <c r="E92" s="6" t="n"/>
      <c r="F92" s="11" t="n"/>
      <c r="G92" s="6" t="n"/>
      <c r="H92" s="6" t="n"/>
      <c r="I92" s="6" t="n"/>
      <c r="J92" s="6">
        <f>IF(OR($C92="",$I92&lt;&gt;"Evet"),"",SUMIFS($D$2:$D$300,$A$2:$A$300,$A92,$C$2:$C$300,$C92,$E$2:$E$300,$E92,$I$2:$I$300,"Evet"))</f>
        <v/>
      </c>
      <c r="K92" s="6">
        <f>IF($E92="","",VLOOKUP($E92,Listeler!$I$2:$J$4,2,0))</f>
        <v/>
      </c>
      <c r="L92" s="6">
        <f>IF($J92="","",IF($J92&gt;$K92,"ARŞEN ONAYI GEREKLİ","Doğrudan geçer"))</f>
        <v/>
      </c>
      <c r="M92" s="6" t="n"/>
      <c r="N92" s="6" t="n"/>
      <c r="O92" s="11" t="n"/>
      <c r="P92" s="6" t="n"/>
      <c r="Q92" s="6" t="n"/>
    </row>
    <row r="93">
      <c r="A93" s="6" t="n"/>
      <c r="B93" s="6" t="n"/>
      <c r="C93" s="6" t="n"/>
      <c r="D93" s="6" t="n"/>
      <c r="E93" s="6" t="n"/>
      <c r="F93" s="11" t="n"/>
      <c r="G93" s="6" t="n"/>
      <c r="H93" s="6" t="n"/>
      <c r="I93" s="6" t="n"/>
      <c r="J93" s="6">
        <f>IF(OR($C93="",$I93&lt;&gt;"Evet"),"",SUMIFS($D$2:$D$300,$A$2:$A$300,$A93,$C$2:$C$300,$C93,$E$2:$E$300,$E93,$I$2:$I$300,"Evet"))</f>
        <v/>
      </c>
      <c r="K93" s="6">
        <f>IF($E93="","",VLOOKUP($E93,Listeler!$I$2:$J$4,2,0))</f>
        <v/>
      </c>
      <c r="L93" s="6">
        <f>IF($J93="","",IF($J93&gt;$K93,"ARŞEN ONAYI GEREKLİ","Doğrudan geçer"))</f>
        <v/>
      </c>
      <c r="M93" s="6" t="n"/>
      <c r="N93" s="6" t="n"/>
      <c r="O93" s="11" t="n"/>
      <c r="P93" s="6" t="n"/>
      <c r="Q93" s="6" t="n"/>
    </row>
    <row r="94">
      <c r="A94" s="6" t="n"/>
      <c r="B94" s="6" t="n"/>
      <c r="C94" s="6" t="n"/>
      <c r="D94" s="6" t="n"/>
      <c r="E94" s="6" t="n"/>
      <c r="F94" s="11" t="n"/>
      <c r="G94" s="6" t="n"/>
      <c r="H94" s="6" t="n"/>
      <c r="I94" s="6" t="n"/>
      <c r="J94" s="6">
        <f>IF(OR($C94="",$I94&lt;&gt;"Evet"),"",SUMIFS($D$2:$D$300,$A$2:$A$300,$A94,$C$2:$C$300,$C94,$E$2:$E$300,$E94,$I$2:$I$300,"Evet"))</f>
        <v/>
      </c>
      <c r="K94" s="6">
        <f>IF($E94="","",VLOOKUP($E94,Listeler!$I$2:$J$4,2,0))</f>
        <v/>
      </c>
      <c r="L94" s="6">
        <f>IF($J94="","",IF($J94&gt;$K94,"ARŞEN ONAYI GEREKLİ","Doğrudan geçer"))</f>
        <v/>
      </c>
      <c r="M94" s="6" t="n"/>
      <c r="N94" s="6" t="n"/>
      <c r="O94" s="11" t="n"/>
      <c r="P94" s="6" t="n"/>
      <c r="Q94" s="6" t="n"/>
    </row>
    <row r="95">
      <c r="A95" s="6" t="n"/>
      <c r="B95" s="6" t="n"/>
      <c r="C95" s="6" t="n"/>
      <c r="D95" s="6" t="n"/>
      <c r="E95" s="6" t="n"/>
      <c r="F95" s="11" t="n"/>
      <c r="G95" s="6" t="n"/>
      <c r="H95" s="6" t="n"/>
      <c r="I95" s="6" t="n"/>
      <c r="J95" s="6">
        <f>IF(OR($C95="",$I95&lt;&gt;"Evet"),"",SUMIFS($D$2:$D$300,$A$2:$A$300,$A95,$C$2:$C$300,$C95,$E$2:$E$300,$E95,$I$2:$I$300,"Evet"))</f>
        <v/>
      </c>
      <c r="K95" s="6">
        <f>IF($E95="","",VLOOKUP($E95,Listeler!$I$2:$J$4,2,0))</f>
        <v/>
      </c>
      <c r="L95" s="6">
        <f>IF($J95="","",IF($J95&gt;$K95,"ARŞEN ONAYI GEREKLİ","Doğrudan geçer"))</f>
        <v/>
      </c>
      <c r="M95" s="6" t="n"/>
      <c r="N95" s="6" t="n"/>
      <c r="O95" s="11" t="n"/>
      <c r="P95" s="6" t="n"/>
      <c r="Q95" s="6" t="n"/>
    </row>
    <row r="96">
      <c r="A96" s="6" t="n"/>
      <c r="B96" s="6" t="n"/>
      <c r="C96" s="6" t="n"/>
      <c r="D96" s="6" t="n"/>
      <c r="E96" s="6" t="n"/>
      <c r="F96" s="11" t="n"/>
      <c r="G96" s="6" t="n"/>
      <c r="H96" s="6" t="n"/>
      <c r="I96" s="6" t="n"/>
      <c r="J96" s="6">
        <f>IF(OR($C96="",$I96&lt;&gt;"Evet"),"",SUMIFS($D$2:$D$300,$A$2:$A$300,$A96,$C$2:$C$300,$C96,$E$2:$E$300,$E96,$I$2:$I$300,"Evet"))</f>
        <v/>
      </c>
      <c r="K96" s="6">
        <f>IF($E96="","",VLOOKUP($E96,Listeler!$I$2:$J$4,2,0))</f>
        <v/>
      </c>
      <c r="L96" s="6">
        <f>IF($J96="","",IF($J96&gt;$K96,"ARŞEN ONAYI GEREKLİ","Doğrudan geçer"))</f>
        <v/>
      </c>
      <c r="M96" s="6" t="n"/>
      <c r="N96" s="6" t="n"/>
      <c r="O96" s="11" t="n"/>
      <c r="P96" s="6" t="n"/>
      <c r="Q96" s="6" t="n"/>
    </row>
    <row r="97">
      <c r="A97" s="6" t="n"/>
      <c r="B97" s="6" t="n"/>
      <c r="C97" s="6" t="n"/>
      <c r="D97" s="6" t="n"/>
      <c r="E97" s="6" t="n"/>
      <c r="F97" s="11" t="n"/>
      <c r="G97" s="6" t="n"/>
      <c r="H97" s="6" t="n"/>
      <c r="I97" s="6" t="n"/>
      <c r="J97" s="6">
        <f>IF(OR($C97="",$I97&lt;&gt;"Evet"),"",SUMIFS($D$2:$D$300,$A$2:$A$300,$A97,$C$2:$C$300,$C97,$E$2:$E$300,$E97,$I$2:$I$300,"Evet"))</f>
        <v/>
      </c>
      <c r="K97" s="6">
        <f>IF($E97="","",VLOOKUP($E97,Listeler!$I$2:$J$4,2,0))</f>
        <v/>
      </c>
      <c r="L97" s="6">
        <f>IF($J97="","",IF($J97&gt;$K97,"ARŞEN ONAYI GEREKLİ","Doğrudan geçer"))</f>
        <v/>
      </c>
      <c r="M97" s="6" t="n"/>
      <c r="N97" s="6" t="n"/>
      <c r="O97" s="11" t="n"/>
      <c r="P97" s="6" t="n"/>
      <c r="Q97" s="6" t="n"/>
    </row>
    <row r="98">
      <c r="A98" s="6" t="n"/>
      <c r="B98" s="6" t="n"/>
      <c r="C98" s="6" t="n"/>
      <c r="D98" s="6" t="n"/>
      <c r="E98" s="6" t="n"/>
      <c r="F98" s="11" t="n"/>
      <c r="G98" s="6" t="n"/>
      <c r="H98" s="6" t="n"/>
      <c r="I98" s="6" t="n"/>
      <c r="J98" s="6">
        <f>IF(OR($C98="",$I98&lt;&gt;"Evet"),"",SUMIFS($D$2:$D$300,$A$2:$A$300,$A98,$C$2:$C$300,$C98,$E$2:$E$300,$E98,$I$2:$I$300,"Evet"))</f>
        <v/>
      </c>
      <c r="K98" s="6">
        <f>IF($E98="","",VLOOKUP($E98,Listeler!$I$2:$J$4,2,0))</f>
        <v/>
      </c>
      <c r="L98" s="6">
        <f>IF($J98="","",IF($J98&gt;$K98,"ARŞEN ONAYI GEREKLİ","Doğrudan geçer"))</f>
        <v/>
      </c>
      <c r="M98" s="6" t="n"/>
      <c r="N98" s="6" t="n"/>
      <c r="O98" s="11" t="n"/>
      <c r="P98" s="6" t="n"/>
      <c r="Q98" s="6" t="n"/>
    </row>
    <row r="99">
      <c r="A99" s="6" t="n"/>
      <c r="B99" s="6" t="n"/>
      <c r="C99" s="6" t="n"/>
      <c r="D99" s="6" t="n"/>
      <c r="E99" s="6" t="n"/>
      <c r="F99" s="11" t="n"/>
      <c r="G99" s="6" t="n"/>
      <c r="H99" s="6" t="n"/>
      <c r="I99" s="6" t="n"/>
      <c r="J99" s="6">
        <f>IF(OR($C99="",$I99&lt;&gt;"Evet"),"",SUMIFS($D$2:$D$300,$A$2:$A$300,$A99,$C$2:$C$300,$C99,$E$2:$E$300,$E99,$I$2:$I$300,"Evet"))</f>
        <v/>
      </c>
      <c r="K99" s="6">
        <f>IF($E99="","",VLOOKUP($E99,Listeler!$I$2:$J$4,2,0))</f>
        <v/>
      </c>
      <c r="L99" s="6">
        <f>IF($J99="","",IF($J99&gt;$K99,"ARŞEN ONAYI GEREKLİ","Doğrudan geçer"))</f>
        <v/>
      </c>
      <c r="M99" s="6" t="n"/>
      <c r="N99" s="6" t="n"/>
      <c r="O99" s="11" t="n"/>
      <c r="P99" s="6" t="n"/>
      <c r="Q99" s="6" t="n"/>
    </row>
    <row r="100">
      <c r="A100" s="6" t="n"/>
      <c r="B100" s="6" t="n"/>
      <c r="C100" s="6" t="n"/>
      <c r="D100" s="6" t="n"/>
      <c r="E100" s="6" t="n"/>
      <c r="F100" s="11" t="n"/>
      <c r="G100" s="6" t="n"/>
      <c r="H100" s="6" t="n"/>
      <c r="I100" s="6" t="n"/>
      <c r="J100" s="6">
        <f>IF(OR($C100="",$I100&lt;&gt;"Evet"),"",SUMIFS($D$2:$D$300,$A$2:$A$300,$A100,$C$2:$C$300,$C100,$E$2:$E$300,$E100,$I$2:$I$300,"Evet"))</f>
        <v/>
      </c>
      <c r="K100" s="6">
        <f>IF($E100="","",VLOOKUP($E100,Listeler!$I$2:$J$4,2,0))</f>
        <v/>
      </c>
      <c r="L100" s="6">
        <f>IF($J100="","",IF($J100&gt;$K100,"ARŞEN ONAYI GEREKLİ","Doğrudan geçer"))</f>
        <v/>
      </c>
      <c r="M100" s="6" t="n"/>
      <c r="N100" s="6" t="n"/>
      <c r="O100" s="11" t="n"/>
      <c r="P100" s="6" t="n"/>
      <c r="Q100" s="6" t="n"/>
    </row>
    <row r="101">
      <c r="A101" s="6" t="n"/>
      <c r="B101" s="6" t="n"/>
      <c r="C101" s="6" t="n"/>
      <c r="D101" s="6" t="n"/>
      <c r="E101" s="6" t="n"/>
      <c r="F101" s="11" t="n"/>
      <c r="G101" s="6" t="n"/>
      <c r="H101" s="6" t="n"/>
      <c r="I101" s="6" t="n"/>
      <c r="J101" s="6">
        <f>IF(OR($C101="",$I101&lt;&gt;"Evet"),"",SUMIFS($D$2:$D$300,$A$2:$A$300,$A101,$C$2:$C$300,$C101,$E$2:$E$300,$E101,$I$2:$I$300,"Evet"))</f>
        <v/>
      </c>
      <c r="K101" s="6">
        <f>IF($E101="","",VLOOKUP($E101,Listeler!$I$2:$J$4,2,0))</f>
        <v/>
      </c>
      <c r="L101" s="6">
        <f>IF($J101="","",IF($J101&gt;$K101,"ARŞEN ONAYI GEREKLİ","Doğrudan geçer"))</f>
        <v/>
      </c>
      <c r="M101" s="6" t="n"/>
      <c r="N101" s="6" t="n"/>
      <c r="O101" s="11" t="n"/>
      <c r="P101" s="6" t="n"/>
      <c r="Q101" s="6" t="n"/>
    </row>
    <row r="102">
      <c r="A102" s="6" t="n"/>
      <c r="B102" s="6" t="n"/>
      <c r="C102" s="6" t="n"/>
      <c r="D102" s="6" t="n"/>
      <c r="E102" s="6" t="n"/>
      <c r="F102" s="11" t="n"/>
      <c r="G102" s="6" t="n"/>
      <c r="H102" s="6" t="n"/>
      <c r="I102" s="6" t="n"/>
      <c r="J102" s="6">
        <f>IF(OR($C102="",$I102&lt;&gt;"Evet"),"",SUMIFS($D$2:$D$300,$A$2:$A$300,$A102,$C$2:$C$300,$C102,$E$2:$E$300,$E102,$I$2:$I$300,"Evet"))</f>
        <v/>
      </c>
      <c r="K102" s="6">
        <f>IF($E102="","",VLOOKUP($E102,Listeler!$I$2:$J$4,2,0))</f>
        <v/>
      </c>
      <c r="L102" s="6">
        <f>IF($J102="","",IF($J102&gt;$K102,"ARŞEN ONAYI GEREKLİ","Doğrudan geçer"))</f>
        <v/>
      </c>
      <c r="M102" s="6" t="n"/>
      <c r="N102" s="6" t="n"/>
      <c r="O102" s="11" t="n"/>
      <c r="P102" s="6" t="n"/>
      <c r="Q102" s="6" t="n"/>
    </row>
    <row r="103">
      <c r="A103" s="6" t="n"/>
      <c r="B103" s="6" t="n"/>
      <c r="C103" s="6" t="n"/>
      <c r="D103" s="6" t="n"/>
      <c r="E103" s="6" t="n"/>
      <c r="F103" s="11" t="n"/>
      <c r="G103" s="6" t="n"/>
      <c r="H103" s="6" t="n"/>
      <c r="I103" s="6" t="n"/>
      <c r="J103" s="6">
        <f>IF(OR($C103="",$I103&lt;&gt;"Evet"),"",SUMIFS($D$2:$D$300,$A$2:$A$300,$A103,$C$2:$C$300,$C103,$E$2:$E$300,$E103,$I$2:$I$300,"Evet"))</f>
        <v/>
      </c>
      <c r="K103" s="6">
        <f>IF($E103="","",VLOOKUP($E103,Listeler!$I$2:$J$4,2,0))</f>
        <v/>
      </c>
      <c r="L103" s="6">
        <f>IF($J103="","",IF($J103&gt;$K103,"ARŞEN ONAYI GEREKLİ","Doğrudan geçer"))</f>
        <v/>
      </c>
      <c r="M103" s="6" t="n"/>
      <c r="N103" s="6" t="n"/>
      <c r="O103" s="11" t="n"/>
      <c r="P103" s="6" t="n"/>
      <c r="Q103" s="6" t="n"/>
    </row>
    <row r="104">
      <c r="A104" s="6" t="n"/>
      <c r="B104" s="6" t="n"/>
      <c r="C104" s="6" t="n"/>
      <c r="D104" s="6" t="n"/>
      <c r="E104" s="6" t="n"/>
      <c r="F104" s="11" t="n"/>
      <c r="G104" s="6" t="n"/>
      <c r="H104" s="6" t="n"/>
      <c r="I104" s="6" t="n"/>
      <c r="J104" s="6">
        <f>IF(OR($C104="",$I104&lt;&gt;"Evet"),"",SUMIFS($D$2:$D$300,$A$2:$A$300,$A104,$C$2:$C$300,$C104,$E$2:$E$300,$E104,$I$2:$I$300,"Evet"))</f>
        <v/>
      </c>
      <c r="K104" s="6">
        <f>IF($E104="","",VLOOKUP($E104,Listeler!$I$2:$J$4,2,0))</f>
        <v/>
      </c>
      <c r="L104" s="6">
        <f>IF($J104="","",IF($J104&gt;$K104,"ARŞEN ONAYI GEREKLİ","Doğrudan geçer"))</f>
        <v/>
      </c>
      <c r="M104" s="6" t="n"/>
      <c r="N104" s="6" t="n"/>
      <c r="O104" s="11" t="n"/>
      <c r="P104" s="6" t="n"/>
      <c r="Q104" s="6" t="n"/>
    </row>
    <row r="105">
      <c r="A105" s="6" t="n"/>
      <c r="B105" s="6" t="n"/>
      <c r="C105" s="6" t="n"/>
      <c r="D105" s="6" t="n"/>
      <c r="E105" s="6" t="n"/>
      <c r="F105" s="11" t="n"/>
      <c r="G105" s="6" t="n"/>
      <c r="H105" s="6" t="n"/>
      <c r="I105" s="6" t="n"/>
      <c r="J105" s="6">
        <f>IF(OR($C105="",$I105&lt;&gt;"Evet"),"",SUMIFS($D$2:$D$300,$A$2:$A$300,$A105,$C$2:$C$300,$C105,$E$2:$E$300,$E105,$I$2:$I$300,"Evet"))</f>
        <v/>
      </c>
      <c r="K105" s="6">
        <f>IF($E105="","",VLOOKUP($E105,Listeler!$I$2:$J$4,2,0))</f>
        <v/>
      </c>
      <c r="L105" s="6">
        <f>IF($J105="","",IF($J105&gt;$K105,"ARŞEN ONAYI GEREKLİ","Doğrudan geçer"))</f>
        <v/>
      </c>
      <c r="M105" s="6" t="n"/>
      <c r="N105" s="6" t="n"/>
      <c r="O105" s="11" t="n"/>
      <c r="P105" s="6" t="n"/>
      <c r="Q105" s="6" t="n"/>
    </row>
    <row r="106">
      <c r="A106" s="6" t="n"/>
      <c r="B106" s="6" t="n"/>
      <c r="C106" s="6" t="n"/>
      <c r="D106" s="6" t="n"/>
      <c r="E106" s="6" t="n"/>
      <c r="F106" s="11" t="n"/>
      <c r="G106" s="6" t="n"/>
      <c r="H106" s="6" t="n"/>
      <c r="I106" s="6" t="n"/>
      <c r="J106" s="6">
        <f>IF(OR($C106="",$I106&lt;&gt;"Evet"),"",SUMIFS($D$2:$D$300,$A$2:$A$300,$A106,$C$2:$C$300,$C106,$E$2:$E$300,$E106,$I$2:$I$300,"Evet"))</f>
        <v/>
      </c>
      <c r="K106" s="6">
        <f>IF($E106="","",VLOOKUP($E106,Listeler!$I$2:$J$4,2,0))</f>
        <v/>
      </c>
      <c r="L106" s="6">
        <f>IF($J106="","",IF($J106&gt;$K106,"ARŞEN ONAYI GEREKLİ","Doğrudan geçer"))</f>
        <v/>
      </c>
      <c r="M106" s="6" t="n"/>
      <c r="N106" s="6" t="n"/>
      <c r="O106" s="11" t="n"/>
      <c r="P106" s="6" t="n"/>
      <c r="Q106" s="6" t="n"/>
    </row>
    <row r="107">
      <c r="A107" s="6" t="n"/>
      <c r="B107" s="6" t="n"/>
      <c r="C107" s="6" t="n"/>
      <c r="D107" s="6" t="n"/>
      <c r="E107" s="6" t="n"/>
      <c r="F107" s="11" t="n"/>
      <c r="G107" s="6" t="n"/>
      <c r="H107" s="6" t="n"/>
      <c r="I107" s="6" t="n"/>
      <c r="J107" s="6">
        <f>IF(OR($C107="",$I107&lt;&gt;"Evet"),"",SUMIFS($D$2:$D$300,$A$2:$A$300,$A107,$C$2:$C$300,$C107,$E$2:$E$300,$E107,$I$2:$I$300,"Evet"))</f>
        <v/>
      </c>
      <c r="K107" s="6">
        <f>IF($E107="","",VLOOKUP($E107,Listeler!$I$2:$J$4,2,0))</f>
        <v/>
      </c>
      <c r="L107" s="6">
        <f>IF($J107="","",IF($J107&gt;$K107,"ARŞEN ONAYI GEREKLİ","Doğrudan geçer"))</f>
        <v/>
      </c>
      <c r="M107" s="6" t="n"/>
      <c r="N107" s="6" t="n"/>
      <c r="O107" s="11" t="n"/>
      <c r="P107" s="6" t="n"/>
      <c r="Q107" s="6" t="n"/>
    </row>
    <row r="108">
      <c r="A108" s="6" t="n"/>
      <c r="B108" s="6" t="n"/>
      <c r="C108" s="6" t="n"/>
      <c r="D108" s="6" t="n"/>
      <c r="E108" s="6" t="n"/>
      <c r="F108" s="11" t="n"/>
      <c r="G108" s="6" t="n"/>
      <c r="H108" s="6" t="n"/>
      <c r="I108" s="6" t="n"/>
      <c r="J108" s="6">
        <f>IF(OR($C108="",$I108&lt;&gt;"Evet"),"",SUMIFS($D$2:$D$300,$A$2:$A$300,$A108,$C$2:$C$300,$C108,$E$2:$E$300,$E108,$I$2:$I$300,"Evet"))</f>
        <v/>
      </c>
      <c r="K108" s="6">
        <f>IF($E108="","",VLOOKUP($E108,Listeler!$I$2:$J$4,2,0))</f>
        <v/>
      </c>
      <c r="L108" s="6">
        <f>IF($J108="","",IF($J108&gt;$K108,"ARŞEN ONAYI GEREKLİ","Doğrudan geçer"))</f>
        <v/>
      </c>
      <c r="M108" s="6" t="n"/>
      <c r="N108" s="6" t="n"/>
      <c r="O108" s="11" t="n"/>
      <c r="P108" s="6" t="n"/>
      <c r="Q108" s="6" t="n"/>
    </row>
    <row r="109">
      <c r="A109" s="6" t="n"/>
      <c r="B109" s="6" t="n"/>
      <c r="C109" s="6" t="n"/>
      <c r="D109" s="6" t="n"/>
      <c r="E109" s="6" t="n"/>
      <c r="F109" s="11" t="n"/>
      <c r="G109" s="6" t="n"/>
      <c r="H109" s="6" t="n"/>
      <c r="I109" s="6" t="n"/>
      <c r="J109" s="6">
        <f>IF(OR($C109="",$I109&lt;&gt;"Evet"),"",SUMIFS($D$2:$D$300,$A$2:$A$300,$A109,$C$2:$C$300,$C109,$E$2:$E$300,$E109,$I$2:$I$300,"Evet"))</f>
        <v/>
      </c>
      <c r="K109" s="6">
        <f>IF($E109="","",VLOOKUP($E109,Listeler!$I$2:$J$4,2,0))</f>
        <v/>
      </c>
      <c r="L109" s="6">
        <f>IF($J109="","",IF($J109&gt;$K109,"ARŞEN ONAYI GEREKLİ","Doğrudan geçer"))</f>
        <v/>
      </c>
      <c r="M109" s="6" t="n"/>
      <c r="N109" s="6" t="n"/>
      <c r="O109" s="11" t="n"/>
      <c r="P109" s="6" t="n"/>
      <c r="Q109" s="6" t="n"/>
    </row>
    <row r="110">
      <c r="A110" s="6" t="n"/>
      <c r="B110" s="6" t="n"/>
      <c r="C110" s="6" t="n"/>
      <c r="D110" s="6" t="n"/>
      <c r="E110" s="6" t="n"/>
      <c r="F110" s="11" t="n"/>
      <c r="G110" s="6" t="n"/>
      <c r="H110" s="6" t="n"/>
      <c r="I110" s="6" t="n"/>
      <c r="J110" s="6">
        <f>IF(OR($C110="",$I110&lt;&gt;"Evet"),"",SUMIFS($D$2:$D$300,$A$2:$A$300,$A110,$C$2:$C$300,$C110,$E$2:$E$300,$E110,$I$2:$I$300,"Evet"))</f>
        <v/>
      </c>
      <c r="K110" s="6">
        <f>IF($E110="","",VLOOKUP($E110,Listeler!$I$2:$J$4,2,0))</f>
        <v/>
      </c>
      <c r="L110" s="6">
        <f>IF($J110="","",IF($J110&gt;$K110,"ARŞEN ONAYI GEREKLİ","Doğrudan geçer"))</f>
        <v/>
      </c>
      <c r="M110" s="6" t="n"/>
      <c r="N110" s="6" t="n"/>
      <c r="O110" s="11" t="n"/>
      <c r="P110" s="6" t="n"/>
      <c r="Q110" s="6" t="n"/>
    </row>
    <row r="111">
      <c r="A111" s="6" t="n"/>
      <c r="B111" s="6" t="n"/>
      <c r="C111" s="6" t="n"/>
      <c r="D111" s="6" t="n"/>
      <c r="E111" s="6" t="n"/>
      <c r="F111" s="11" t="n"/>
      <c r="G111" s="6" t="n"/>
      <c r="H111" s="6" t="n"/>
      <c r="I111" s="6" t="n"/>
      <c r="J111" s="6">
        <f>IF(OR($C111="",$I111&lt;&gt;"Evet"),"",SUMIFS($D$2:$D$300,$A$2:$A$300,$A111,$C$2:$C$300,$C111,$E$2:$E$300,$E111,$I$2:$I$300,"Evet"))</f>
        <v/>
      </c>
      <c r="K111" s="6">
        <f>IF($E111="","",VLOOKUP($E111,Listeler!$I$2:$J$4,2,0))</f>
        <v/>
      </c>
      <c r="L111" s="6">
        <f>IF($J111="","",IF($J111&gt;$K111,"ARŞEN ONAYI GEREKLİ","Doğrudan geçer"))</f>
        <v/>
      </c>
      <c r="M111" s="6" t="n"/>
      <c r="N111" s="6" t="n"/>
      <c r="O111" s="11" t="n"/>
      <c r="P111" s="6" t="n"/>
      <c r="Q111" s="6" t="n"/>
    </row>
    <row r="112">
      <c r="A112" s="6" t="n"/>
      <c r="B112" s="6" t="n"/>
      <c r="C112" s="6" t="n"/>
      <c r="D112" s="6" t="n"/>
      <c r="E112" s="6" t="n"/>
      <c r="F112" s="11" t="n"/>
      <c r="G112" s="6" t="n"/>
      <c r="H112" s="6" t="n"/>
      <c r="I112" s="6" t="n"/>
      <c r="J112" s="6">
        <f>IF(OR($C112="",$I112&lt;&gt;"Evet"),"",SUMIFS($D$2:$D$300,$A$2:$A$300,$A112,$C$2:$C$300,$C112,$E$2:$E$300,$E112,$I$2:$I$300,"Evet"))</f>
        <v/>
      </c>
      <c r="K112" s="6">
        <f>IF($E112="","",VLOOKUP($E112,Listeler!$I$2:$J$4,2,0))</f>
        <v/>
      </c>
      <c r="L112" s="6">
        <f>IF($J112="","",IF($J112&gt;$K112,"ARŞEN ONAYI GEREKLİ","Doğrudan geçer"))</f>
        <v/>
      </c>
      <c r="M112" s="6" t="n"/>
      <c r="N112" s="6" t="n"/>
      <c r="O112" s="11" t="n"/>
      <c r="P112" s="6" t="n"/>
      <c r="Q112" s="6" t="n"/>
    </row>
    <row r="113">
      <c r="A113" s="6" t="n"/>
      <c r="B113" s="6" t="n"/>
      <c r="C113" s="6" t="n"/>
      <c r="D113" s="6" t="n"/>
      <c r="E113" s="6" t="n"/>
      <c r="F113" s="11" t="n"/>
      <c r="G113" s="6" t="n"/>
      <c r="H113" s="6" t="n"/>
      <c r="I113" s="6" t="n"/>
      <c r="J113" s="6">
        <f>IF(OR($C113="",$I113&lt;&gt;"Evet"),"",SUMIFS($D$2:$D$300,$A$2:$A$300,$A113,$C$2:$C$300,$C113,$E$2:$E$300,$E113,$I$2:$I$300,"Evet"))</f>
        <v/>
      </c>
      <c r="K113" s="6">
        <f>IF($E113="","",VLOOKUP($E113,Listeler!$I$2:$J$4,2,0))</f>
        <v/>
      </c>
      <c r="L113" s="6">
        <f>IF($J113="","",IF($J113&gt;$K113,"ARŞEN ONAYI GEREKLİ","Doğrudan geçer"))</f>
        <v/>
      </c>
      <c r="M113" s="6" t="n"/>
      <c r="N113" s="6" t="n"/>
      <c r="O113" s="11" t="n"/>
      <c r="P113" s="6" t="n"/>
      <c r="Q113" s="6" t="n"/>
    </row>
    <row r="114">
      <c r="A114" s="6" t="n"/>
      <c r="B114" s="6" t="n"/>
      <c r="C114" s="6" t="n"/>
      <c r="D114" s="6" t="n"/>
      <c r="E114" s="6" t="n"/>
      <c r="F114" s="11" t="n"/>
      <c r="G114" s="6" t="n"/>
      <c r="H114" s="6" t="n"/>
      <c r="I114" s="6" t="n"/>
      <c r="J114" s="6">
        <f>IF(OR($C114="",$I114&lt;&gt;"Evet"),"",SUMIFS($D$2:$D$300,$A$2:$A$300,$A114,$C$2:$C$300,$C114,$E$2:$E$300,$E114,$I$2:$I$300,"Evet"))</f>
        <v/>
      </c>
      <c r="K114" s="6">
        <f>IF($E114="","",VLOOKUP($E114,Listeler!$I$2:$J$4,2,0))</f>
        <v/>
      </c>
      <c r="L114" s="6">
        <f>IF($J114="","",IF($J114&gt;$K114,"ARŞEN ONAYI GEREKLİ","Doğrudan geçer"))</f>
        <v/>
      </c>
      <c r="M114" s="6" t="n"/>
      <c r="N114" s="6" t="n"/>
      <c r="O114" s="11" t="n"/>
      <c r="P114" s="6" t="n"/>
      <c r="Q114" s="6" t="n"/>
    </row>
    <row r="115">
      <c r="A115" s="6" t="n"/>
      <c r="B115" s="6" t="n"/>
      <c r="C115" s="6" t="n"/>
      <c r="D115" s="6" t="n"/>
      <c r="E115" s="6" t="n"/>
      <c r="F115" s="11" t="n"/>
      <c r="G115" s="6" t="n"/>
      <c r="H115" s="6" t="n"/>
      <c r="I115" s="6" t="n"/>
      <c r="J115" s="6">
        <f>IF(OR($C115="",$I115&lt;&gt;"Evet"),"",SUMIFS($D$2:$D$300,$A$2:$A$300,$A115,$C$2:$C$300,$C115,$E$2:$E$300,$E115,$I$2:$I$300,"Evet"))</f>
        <v/>
      </c>
      <c r="K115" s="6">
        <f>IF($E115="","",VLOOKUP($E115,Listeler!$I$2:$J$4,2,0))</f>
        <v/>
      </c>
      <c r="L115" s="6">
        <f>IF($J115="","",IF($J115&gt;$K115,"ARŞEN ONAYI GEREKLİ","Doğrudan geçer"))</f>
        <v/>
      </c>
      <c r="M115" s="6" t="n"/>
      <c r="N115" s="6" t="n"/>
      <c r="O115" s="11" t="n"/>
      <c r="P115" s="6" t="n"/>
      <c r="Q115" s="6" t="n"/>
    </row>
    <row r="116">
      <c r="A116" s="6" t="n"/>
      <c r="B116" s="6" t="n"/>
      <c r="C116" s="6" t="n"/>
      <c r="D116" s="6" t="n"/>
      <c r="E116" s="6" t="n"/>
      <c r="F116" s="11" t="n"/>
      <c r="G116" s="6" t="n"/>
      <c r="H116" s="6" t="n"/>
      <c r="I116" s="6" t="n"/>
      <c r="J116" s="6">
        <f>IF(OR($C116="",$I116&lt;&gt;"Evet"),"",SUMIFS($D$2:$D$300,$A$2:$A$300,$A116,$C$2:$C$300,$C116,$E$2:$E$300,$E116,$I$2:$I$300,"Evet"))</f>
        <v/>
      </c>
      <c r="K116" s="6">
        <f>IF($E116="","",VLOOKUP($E116,Listeler!$I$2:$J$4,2,0))</f>
        <v/>
      </c>
      <c r="L116" s="6">
        <f>IF($J116="","",IF($J116&gt;$K116,"ARŞEN ONAYI GEREKLİ","Doğrudan geçer"))</f>
        <v/>
      </c>
      <c r="M116" s="6" t="n"/>
      <c r="N116" s="6" t="n"/>
      <c r="O116" s="11" t="n"/>
      <c r="P116" s="6" t="n"/>
      <c r="Q116" s="6" t="n"/>
    </row>
    <row r="117">
      <c r="A117" s="6" t="n"/>
      <c r="B117" s="6" t="n"/>
      <c r="C117" s="6" t="n"/>
      <c r="D117" s="6" t="n"/>
      <c r="E117" s="6" t="n"/>
      <c r="F117" s="11" t="n"/>
      <c r="G117" s="6" t="n"/>
      <c r="H117" s="6" t="n"/>
      <c r="I117" s="6" t="n"/>
      <c r="J117" s="6">
        <f>IF(OR($C117="",$I117&lt;&gt;"Evet"),"",SUMIFS($D$2:$D$300,$A$2:$A$300,$A117,$C$2:$C$300,$C117,$E$2:$E$300,$E117,$I$2:$I$300,"Evet"))</f>
        <v/>
      </c>
      <c r="K117" s="6">
        <f>IF($E117="","",VLOOKUP($E117,Listeler!$I$2:$J$4,2,0))</f>
        <v/>
      </c>
      <c r="L117" s="6">
        <f>IF($J117="","",IF($J117&gt;$K117,"ARŞEN ONAYI GEREKLİ","Doğrudan geçer"))</f>
        <v/>
      </c>
      <c r="M117" s="6" t="n"/>
      <c r="N117" s="6" t="n"/>
      <c r="O117" s="11" t="n"/>
      <c r="P117" s="6" t="n"/>
      <c r="Q117" s="6" t="n"/>
    </row>
    <row r="118">
      <c r="A118" s="6" t="n"/>
      <c r="B118" s="6" t="n"/>
      <c r="C118" s="6" t="n"/>
      <c r="D118" s="6" t="n"/>
      <c r="E118" s="6" t="n"/>
      <c r="F118" s="11" t="n"/>
      <c r="G118" s="6" t="n"/>
      <c r="H118" s="6" t="n"/>
      <c r="I118" s="6" t="n"/>
      <c r="J118" s="6">
        <f>IF(OR($C118="",$I118&lt;&gt;"Evet"),"",SUMIFS($D$2:$D$300,$A$2:$A$300,$A118,$C$2:$C$300,$C118,$E$2:$E$300,$E118,$I$2:$I$300,"Evet"))</f>
        <v/>
      </c>
      <c r="K118" s="6">
        <f>IF($E118="","",VLOOKUP($E118,Listeler!$I$2:$J$4,2,0))</f>
        <v/>
      </c>
      <c r="L118" s="6">
        <f>IF($J118="","",IF($J118&gt;$K118,"ARŞEN ONAYI GEREKLİ","Doğrudan geçer"))</f>
        <v/>
      </c>
      <c r="M118" s="6" t="n"/>
      <c r="N118" s="6" t="n"/>
      <c r="O118" s="11" t="n"/>
      <c r="P118" s="6" t="n"/>
      <c r="Q118" s="6" t="n"/>
    </row>
    <row r="119">
      <c r="A119" s="6" t="n"/>
      <c r="B119" s="6" t="n"/>
      <c r="C119" s="6" t="n"/>
      <c r="D119" s="6" t="n"/>
      <c r="E119" s="6" t="n"/>
      <c r="F119" s="11" t="n"/>
      <c r="G119" s="6" t="n"/>
      <c r="H119" s="6" t="n"/>
      <c r="I119" s="6" t="n"/>
      <c r="J119" s="6">
        <f>IF(OR($C119="",$I119&lt;&gt;"Evet"),"",SUMIFS($D$2:$D$300,$A$2:$A$300,$A119,$C$2:$C$300,$C119,$E$2:$E$300,$E119,$I$2:$I$300,"Evet"))</f>
        <v/>
      </c>
      <c r="K119" s="6">
        <f>IF($E119="","",VLOOKUP($E119,Listeler!$I$2:$J$4,2,0))</f>
        <v/>
      </c>
      <c r="L119" s="6">
        <f>IF($J119="","",IF($J119&gt;$K119,"ARŞEN ONAYI GEREKLİ","Doğrudan geçer"))</f>
        <v/>
      </c>
      <c r="M119" s="6" t="n"/>
      <c r="N119" s="6" t="n"/>
      <c r="O119" s="11" t="n"/>
      <c r="P119" s="6" t="n"/>
      <c r="Q119" s="6" t="n"/>
    </row>
    <row r="120">
      <c r="A120" s="6" t="n"/>
      <c r="B120" s="6" t="n"/>
      <c r="C120" s="6" t="n"/>
      <c r="D120" s="6" t="n"/>
      <c r="E120" s="6" t="n"/>
      <c r="F120" s="11" t="n"/>
      <c r="G120" s="6" t="n"/>
      <c r="H120" s="6" t="n"/>
      <c r="I120" s="6" t="n"/>
      <c r="J120" s="6">
        <f>IF(OR($C120="",$I120&lt;&gt;"Evet"),"",SUMIFS($D$2:$D$300,$A$2:$A$300,$A120,$C$2:$C$300,$C120,$E$2:$E$300,$E120,$I$2:$I$300,"Evet"))</f>
        <v/>
      </c>
      <c r="K120" s="6">
        <f>IF($E120="","",VLOOKUP($E120,Listeler!$I$2:$J$4,2,0))</f>
        <v/>
      </c>
      <c r="L120" s="6">
        <f>IF($J120="","",IF($J120&gt;$K120,"ARŞEN ONAYI GEREKLİ","Doğrudan geçer"))</f>
        <v/>
      </c>
      <c r="M120" s="6" t="n"/>
      <c r="N120" s="6" t="n"/>
      <c r="O120" s="11" t="n"/>
      <c r="P120" s="6" t="n"/>
      <c r="Q120" s="6" t="n"/>
    </row>
    <row r="121">
      <c r="A121" s="6" t="n"/>
      <c r="B121" s="6" t="n"/>
      <c r="C121" s="6" t="n"/>
      <c r="D121" s="6" t="n"/>
      <c r="E121" s="6" t="n"/>
      <c r="F121" s="11" t="n"/>
      <c r="G121" s="6" t="n"/>
      <c r="H121" s="6" t="n"/>
      <c r="I121" s="6" t="n"/>
      <c r="J121" s="6">
        <f>IF(OR($C121="",$I121&lt;&gt;"Evet"),"",SUMIFS($D$2:$D$300,$A$2:$A$300,$A121,$C$2:$C$300,$C121,$E$2:$E$300,$E121,$I$2:$I$300,"Evet"))</f>
        <v/>
      </c>
      <c r="K121" s="6">
        <f>IF($E121="","",VLOOKUP($E121,Listeler!$I$2:$J$4,2,0))</f>
        <v/>
      </c>
      <c r="L121" s="6">
        <f>IF($J121="","",IF($J121&gt;$K121,"ARŞEN ONAYI GEREKLİ","Doğrudan geçer"))</f>
        <v/>
      </c>
      <c r="M121" s="6" t="n"/>
      <c r="N121" s="6" t="n"/>
      <c r="O121" s="11" t="n"/>
      <c r="P121" s="6" t="n"/>
      <c r="Q121" s="6" t="n"/>
    </row>
    <row r="122">
      <c r="A122" s="6" t="n"/>
      <c r="B122" s="6" t="n"/>
      <c r="C122" s="6" t="n"/>
      <c r="D122" s="6" t="n"/>
      <c r="E122" s="6" t="n"/>
      <c r="F122" s="11" t="n"/>
      <c r="G122" s="6" t="n"/>
      <c r="H122" s="6" t="n"/>
      <c r="I122" s="6" t="n"/>
      <c r="J122" s="6">
        <f>IF(OR($C122="",$I122&lt;&gt;"Evet"),"",SUMIFS($D$2:$D$300,$A$2:$A$300,$A122,$C$2:$C$300,$C122,$E$2:$E$300,$E122,$I$2:$I$300,"Evet"))</f>
        <v/>
      </c>
      <c r="K122" s="6">
        <f>IF($E122="","",VLOOKUP($E122,Listeler!$I$2:$J$4,2,0))</f>
        <v/>
      </c>
      <c r="L122" s="6">
        <f>IF($J122="","",IF($J122&gt;$K122,"ARŞEN ONAYI GEREKLİ","Doğrudan geçer"))</f>
        <v/>
      </c>
      <c r="M122" s="6" t="n"/>
      <c r="N122" s="6" t="n"/>
      <c r="O122" s="11" t="n"/>
      <c r="P122" s="6" t="n"/>
      <c r="Q122" s="6" t="n"/>
    </row>
    <row r="123">
      <c r="A123" s="6" t="n"/>
      <c r="B123" s="6" t="n"/>
      <c r="C123" s="6" t="n"/>
      <c r="D123" s="6" t="n"/>
      <c r="E123" s="6" t="n"/>
      <c r="F123" s="11" t="n"/>
      <c r="G123" s="6" t="n"/>
      <c r="H123" s="6" t="n"/>
      <c r="I123" s="6" t="n"/>
      <c r="J123" s="6">
        <f>IF(OR($C123="",$I123&lt;&gt;"Evet"),"",SUMIFS($D$2:$D$300,$A$2:$A$300,$A123,$C$2:$C$300,$C123,$E$2:$E$300,$E123,$I$2:$I$300,"Evet"))</f>
        <v/>
      </c>
      <c r="K123" s="6">
        <f>IF($E123="","",VLOOKUP($E123,Listeler!$I$2:$J$4,2,0))</f>
        <v/>
      </c>
      <c r="L123" s="6">
        <f>IF($J123="","",IF($J123&gt;$K123,"ARŞEN ONAYI GEREKLİ","Doğrudan geçer"))</f>
        <v/>
      </c>
      <c r="M123" s="6" t="n"/>
      <c r="N123" s="6" t="n"/>
      <c r="O123" s="11" t="n"/>
      <c r="P123" s="6" t="n"/>
      <c r="Q123" s="6" t="n"/>
    </row>
    <row r="124">
      <c r="A124" s="6" t="n"/>
      <c r="B124" s="6" t="n"/>
      <c r="C124" s="6" t="n"/>
      <c r="D124" s="6" t="n"/>
      <c r="E124" s="6" t="n"/>
      <c r="F124" s="11" t="n"/>
      <c r="G124" s="6" t="n"/>
      <c r="H124" s="6" t="n"/>
      <c r="I124" s="6" t="n"/>
      <c r="J124" s="6">
        <f>IF(OR($C124="",$I124&lt;&gt;"Evet"),"",SUMIFS($D$2:$D$300,$A$2:$A$300,$A124,$C$2:$C$300,$C124,$E$2:$E$300,$E124,$I$2:$I$300,"Evet"))</f>
        <v/>
      </c>
      <c r="K124" s="6">
        <f>IF($E124="","",VLOOKUP($E124,Listeler!$I$2:$J$4,2,0))</f>
        <v/>
      </c>
      <c r="L124" s="6">
        <f>IF($J124="","",IF($J124&gt;$K124,"ARŞEN ONAYI GEREKLİ","Doğrudan geçer"))</f>
        <v/>
      </c>
      <c r="M124" s="6" t="n"/>
      <c r="N124" s="6" t="n"/>
      <c r="O124" s="11" t="n"/>
      <c r="P124" s="6" t="n"/>
      <c r="Q124" s="6" t="n"/>
    </row>
    <row r="125">
      <c r="A125" s="6" t="n"/>
      <c r="B125" s="6" t="n"/>
      <c r="C125" s="6" t="n"/>
      <c r="D125" s="6" t="n"/>
      <c r="E125" s="6" t="n"/>
      <c r="F125" s="11" t="n"/>
      <c r="G125" s="6" t="n"/>
      <c r="H125" s="6" t="n"/>
      <c r="I125" s="6" t="n"/>
      <c r="J125" s="6">
        <f>IF(OR($C125="",$I125&lt;&gt;"Evet"),"",SUMIFS($D$2:$D$300,$A$2:$A$300,$A125,$C$2:$C$300,$C125,$E$2:$E$300,$E125,$I$2:$I$300,"Evet"))</f>
        <v/>
      </c>
      <c r="K125" s="6">
        <f>IF($E125="","",VLOOKUP($E125,Listeler!$I$2:$J$4,2,0))</f>
        <v/>
      </c>
      <c r="L125" s="6">
        <f>IF($J125="","",IF($J125&gt;$K125,"ARŞEN ONAYI GEREKLİ","Doğrudan geçer"))</f>
        <v/>
      </c>
      <c r="M125" s="6" t="n"/>
      <c r="N125" s="6" t="n"/>
      <c r="O125" s="11" t="n"/>
      <c r="P125" s="6" t="n"/>
      <c r="Q125" s="6" t="n"/>
    </row>
    <row r="126">
      <c r="A126" s="6" t="n"/>
      <c r="B126" s="6" t="n"/>
      <c r="C126" s="6" t="n"/>
      <c r="D126" s="6" t="n"/>
      <c r="E126" s="6" t="n"/>
      <c r="F126" s="11" t="n"/>
      <c r="G126" s="6" t="n"/>
      <c r="H126" s="6" t="n"/>
      <c r="I126" s="6" t="n"/>
      <c r="J126" s="6">
        <f>IF(OR($C126="",$I126&lt;&gt;"Evet"),"",SUMIFS($D$2:$D$300,$A$2:$A$300,$A126,$C$2:$C$300,$C126,$E$2:$E$300,$E126,$I$2:$I$300,"Evet"))</f>
        <v/>
      </c>
      <c r="K126" s="6">
        <f>IF($E126="","",VLOOKUP($E126,Listeler!$I$2:$J$4,2,0))</f>
        <v/>
      </c>
      <c r="L126" s="6">
        <f>IF($J126="","",IF($J126&gt;$K126,"ARŞEN ONAYI GEREKLİ","Doğrudan geçer"))</f>
        <v/>
      </c>
      <c r="M126" s="6" t="n"/>
      <c r="N126" s="6" t="n"/>
      <c r="O126" s="11" t="n"/>
      <c r="P126" s="6" t="n"/>
      <c r="Q126" s="6" t="n"/>
    </row>
    <row r="127">
      <c r="A127" s="6" t="n"/>
      <c r="B127" s="6" t="n"/>
      <c r="C127" s="6" t="n"/>
      <c r="D127" s="6" t="n"/>
      <c r="E127" s="6" t="n"/>
      <c r="F127" s="11" t="n"/>
      <c r="G127" s="6" t="n"/>
      <c r="H127" s="6" t="n"/>
      <c r="I127" s="6" t="n"/>
      <c r="J127" s="6">
        <f>IF(OR($C127="",$I127&lt;&gt;"Evet"),"",SUMIFS($D$2:$D$300,$A$2:$A$300,$A127,$C$2:$C$300,$C127,$E$2:$E$300,$E127,$I$2:$I$300,"Evet"))</f>
        <v/>
      </c>
      <c r="K127" s="6">
        <f>IF($E127="","",VLOOKUP($E127,Listeler!$I$2:$J$4,2,0))</f>
        <v/>
      </c>
      <c r="L127" s="6">
        <f>IF($J127="","",IF($J127&gt;$K127,"ARŞEN ONAYI GEREKLİ","Doğrudan geçer"))</f>
        <v/>
      </c>
      <c r="M127" s="6" t="n"/>
      <c r="N127" s="6" t="n"/>
      <c r="O127" s="11" t="n"/>
      <c r="P127" s="6" t="n"/>
      <c r="Q127" s="6" t="n"/>
    </row>
    <row r="128">
      <c r="A128" s="6" t="n"/>
      <c r="B128" s="6" t="n"/>
      <c r="C128" s="6" t="n"/>
      <c r="D128" s="6" t="n"/>
      <c r="E128" s="6" t="n"/>
      <c r="F128" s="11" t="n"/>
      <c r="G128" s="6" t="n"/>
      <c r="H128" s="6" t="n"/>
      <c r="I128" s="6" t="n"/>
      <c r="J128" s="6">
        <f>IF(OR($C128="",$I128&lt;&gt;"Evet"),"",SUMIFS($D$2:$D$300,$A$2:$A$300,$A128,$C$2:$C$300,$C128,$E$2:$E$300,$E128,$I$2:$I$300,"Evet"))</f>
        <v/>
      </c>
      <c r="K128" s="6">
        <f>IF($E128="","",VLOOKUP($E128,Listeler!$I$2:$J$4,2,0))</f>
        <v/>
      </c>
      <c r="L128" s="6">
        <f>IF($J128="","",IF($J128&gt;$K128,"ARŞEN ONAYI GEREKLİ","Doğrudan geçer"))</f>
        <v/>
      </c>
      <c r="M128" s="6" t="n"/>
      <c r="N128" s="6" t="n"/>
      <c r="O128" s="11" t="n"/>
      <c r="P128" s="6" t="n"/>
      <c r="Q128" s="6" t="n"/>
    </row>
    <row r="129">
      <c r="A129" s="6" t="n"/>
      <c r="B129" s="6" t="n"/>
      <c r="C129" s="6" t="n"/>
      <c r="D129" s="6" t="n"/>
      <c r="E129" s="6" t="n"/>
      <c r="F129" s="11" t="n"/>
      <c r="G129" s="6" t="n"/>
      <c r="H129" s="6" t="n"/>
      <c r="I129" s="6" t="n"/>
      <c r="J129" s="6">
        <f>IF(OR($C129="",$I129&lt;&gt;"Evet"),"",SUMIFS($D$2:$D$300,$A$2:$A$300,$A129,$C$2:$C$300,$C129,$E$2:$E$300,$E129,$I$2:$I$300,"Evet"))</f>
        <v/>
      </c>
      <c r="K129" s="6">
        <f>IF($E129="","",VLOOKUP($E129,Listeler!$I$2:$J$4,2,0))</f>
        <v/>
      </c>
      <c r="L129" s="6">
        <f>IF($J129="","",IF($J129&gt;$K129,"ARŞEN ONAYI GEREKLİ","Doğrudan geçer"))</f>
        <v/>
      </c>
      <c r="M129" s="6" t="n"/>
      <c r="N129" s="6" t="n"/>
      <c r="O129" s="11" t="n"/>
      <c r="P129" s="6" t="n"/>
      <c r="Q129" s="6" t="n"/>
    </row>
    <row r="130">
      <c r="A130" s="6" t="n"/>
      <c r="B130" s="6" t="n"/>
      <c r="C130" s="6" t="n"/>
      <c r="D130" s="6" t="n"/>
      <c r="E130" s="6" t="n"/>
      <c r="F130" s="11" t="n"/>
      <c r="G130" s="6" t="n"/>
      <c r="H130" s="6" t="n"/>
      <c r="I130" s="6" t="n"/>
      <c r="J130" s="6">
        <f>IF(OR($C130="",$I130&lt;&gt;"Evet"),"",SUMIFS($D$2:$D$300,$A$2:$A$300,$A130,$C$2:$C$300,$C130,$E$2:$E$300,$E130,$I$2:$I$300,"Evet"))</f>
        <v/>
      </c>
      <c r="K130" s="6">
        <f>IF($E130="","",VLOOKUP($E130,Listeler!$I$2:$J$4,2,0))</f>
        <v/>
      </c>
      <c r="L130" s="6">
        <f>IF($J130="","",IF($J130&gt;$K130,"ARŞEN ONAYI GEREKLİ","Doğrudan geçer"))</f>
        <v/>
      </c>
      <c r="M130" s="6" t="n"/>
      <c r="N130" s="6" t="n"/>
      <c r="O130" s="11" t="n"/>
      <c r="P130" s="6" t="n"/>
      <c r="Q130" s="6" t="n"/>
    </row>
    <row r="131">
      <c r="A131" s="6" t="n"/>
      <c r="B131" s="6" t="n"/>
      <c r="C131" s="6" t="n"/>
      <c r="D131" s="6" t="n"/>
      <c r="E131" s="6" t="n"/>
      <c r="F131" s="11" t="n"/>
      <c r="G131" s="6" t="n"/>
      <c r="H131" s="6" t="n"/>
      <c r="I131" s="6" t="n"/>
      <c r="J131" s="6">
        <f>IF(OR($C131="",$I131&lt;&gt;"Evet"),"",SUMIFS($D$2:$D$300,$A$2:$A$300,$A131,$C$2:$C$300,$C131,$E$2:$E$300,$E131,$I$2:$I$300,"Evet"))</f>
        <v/>
      </c>
      <c r="K131" s="6">
        <f>IF($E131="","",VLOOKUP($E131,Listeler!$I$2:$J$4,2,0))</f>
        <v/>
      </c>
      <c r="L131" s="6">
        <f>IF($J131="","",IF($J131&gt;$K131,"ARŞEN ONAYI GEREKLİ","Doğrudan geçer"))</f>
        <v/>
      </c>
      <c r="M131" s="6" t="n"/>
      <c r="N131" s="6" t="n"/>
      <c r="O131" s="11" t="n"/>
      <c r="P131" s="6" t="n"/>
      <c r="Q131" s="6" t="n"/>
    </row>
    <row r="132">
      <c r="A132" s="6" t="n"/>
      <c r="B132" s="6" t="n"/>
      <c r="C132" s="6" t="n"/>
      <c r="D132" s="6" t="n"/>
      <c r="E132" s="6" t="n"/>
      <c r="F132" s="11" t="n"/>
      <c r="G132" s="6" t="n"/>
      <c r="H132" s="6" t="n"/>
      <c r="I132" s="6" t="n"/>
      <c r="J132" s="6">
        <f>IF(OR($C132="",$I132&lt;&gt;"Evet"),"",SUMIFS($D$2:$D$300,$A$2:$A$300,$A132,$C$2:$C$300,$C132,$E$2:$E$300,$E132,$I$2:$I$300,"Evet"))</f>
        <v/>
      </c>
      <c r="K132" s="6">
        <f>IF($E132="","",VLOOKUP($E132,Listeler!$I$2:$J$4,2,0))</f>
        <v/>
      </c>
      <c r="L132" s="6">
        <f>IF($J132="","",IF($J132&gt;$K132,"ARŞEN ONAYI GEREKLİ","Doğrudan geçer"))</f>
        <v/>
      </c>
      <c r="M132" s="6" t="n"/>
      <c r="N132" s="6" t="n"/>
      <c r="O132" s="11" t="n"/>
      <c r="P132" s="6" t="n"/>
      <c r="Q132" s="6" t="n"/>
    </row>
    <row r="133">
      <c r="A133" s="6" t="n"/>
      <c r="B133" s="6" t="n"/>
      <c r="C133" s="6" t="n"/>
      <c r="D133" s="6" t="n"/>
      <c r="E133" s="6" t="n"/>
      <c r="F133" s="11" t="n"/>
      <c r="G133" s="6" t="n"/>
      <c r="H133" s="6" t="n"/>
      <c r="I133" s="6" t="n"/>
      <c r="J133" s="6">
        <f>IF(OR($C133="",$I133&lt;&gt;"Evet"),"",SUMIFS($D$2:$D$300,$A$2:$A$300,$A133,$C$2:$C$300,$C133,$E$2:$E$300,$E133,$I$2:$I$300,"Evet"))</f>
        <v/>
      </c>
      <c r="K133" s="6">
        <f>IF($E133="","",VLOOKUP($E133,Listeler!$I$2:$J$4,2,0))</f>
        <v/>
      </c>
      <c r="L133" s="6">
        <f>IF($J133="","",IF($J133&gt;$K133,"ARŞEN ONAYI GEREKLİ","Doğrudan geçer"))</f>
        <v/>
      </c>
      <c r="M133" s="6" t="n"/>
      <c r="N133" s="6" t="n"/>
      <c r="O133" s="11" t="n"/>
      <c r="P133" s="6" t="n"/>
      <c r="Q133" s="6" t="n"/>
    </row>
    <row r="134">
      <c r="A134" s="6" t="n"/>
      <c r="B134" s="6" t="n"/>
      <c r="C134" s="6" t="n"/>
      <c r="D134" s="6" t="n"/>
      <c r="E134" s="6" t="n"/>
      <c r="F134" s="11" t="n"/>
      <c r="G134" s="6" t="n"/>
      <c r="H134" s="6" t="n"/>
      <c r="I134" s="6" t="n"/>
      <c r="J134" s="6">
        <f>IF(OR($C134="",$I134&lt;&gt;"Evet"),"",SUMIFS($D$2:$D$300,$A$2:$A$300,$A134,$C$2:$C$300,$C134,$E$2:$E$300,$E134,$I$2:$I$300,"Evet"))</f>
        <v/>
      </c>
      <c r="K134" s="6">
        <f>IF($E134="","",VLOOKUP($E134,Listeler!$I$2:$J$4,2,0))</f>
        <v/>
      </c>
      <c r="L134" s="6">
        <f>IF($J134="","",IF($J134&gt;$K134,"ARŞEN ONAYI GEREKLİ","Doğrudan geçer"))</f>
        <v/>
      </c>
      <c r="M134" s="6" t="n"/>
      <c r="N134" s="6" t="n"/>
      <c r="O134" s="11" t="n"/>
      <c r="P134" s="6" t="n"/>
      <c r="Q134" s="6" t="n"/>
    </row>
    <row r="135">
      <c r="A135" s="6" t="n"/>
      <c r="B135" s="6" t="n"/>
      <c r="C135" s="6" t="n"/>
      <c r="D135" s="6" t="n"/>
      <c r="E135" s="6" t="n"/>
      <c r="F135" s="11" t="n"/>
      <c r="G135" s="6" t="n"/>
      <c r="H135" s="6" t="n"/>
      <c r="I135" s="6" t="n"/>
      <c r="J135" s="6">
        <f>IF(OR($C135="",$I135&lt;&gt;"Evet"),"",SUMIFS($D$2:$D$300,$A$2:$A$300,$A135,$C$2:$C$300,$C135,$E$2:$E$300,$E135,$I$2:$I$300,"Evet"))</f>
        <v/>
      </c>
      <c r="K135" s="6">
        <f>IF($E135="","",VLOOKUP($E135,Listeler!$I$2:$J$4,2,0))</f>
        <v/>
      </c>
      <c r="L135" s="6">
        <f>IF($J135="","",IF($J135&gt;$K135,"ARŞEN ONAYI GEREKLİ","Doğrudan geçer"))</f>
        <v/>
      </c>
      <c r="M135" s="6" t="n"/>
      <c r="N135" s="6" t="n"/>
      <c r="O135" s="11" t="n"/>
      <c r="P135" s="6" t="n"/>
      <c r="Q135" s="6" t="n"/>
    </row>
    <row r="136">
      <c r="A136" s="6" t="n"/>
      <c r="B136" s="6" t="n"/>
      <c r="C136" s="6" t="n"/>
      <c r="D136" s="6" t="n"/>
      <c r="E136" s="6" t="n"/>
      <c r="F136" s="11" t="n"/>
      <c r="G136" s="6" t="n"/>
      <c r="H136" s="6" t="n"/>
      <c r="I136" s="6" t="n"/>
      <c r="J136" s="6">
        <f>IF(OR($C136="",$I136&lt;&gt;"Evet"),"",SUMIFS($D$2:$D$300,$A$2:$A$300,$A136,$C$2:$C$300,$C136,$E$2:$E$300,$E136,$I$2:$I$300,"Evet"))</f>
        <v/>
      </c>
      <c r="K136" s="6">
        <f>IF($E136="","",VLOOKUP($E136,Listeler!$I$2:$J$4,2,0))</f>
        <v/>
      </c>
      <c r="L136" s="6">
        <f>IF($J136="","",IF($J136&gt;$K136,"ARŞEN ONAYI GEREKLİ","Doğrudan geçer"))</f>
        <v/>
      </c>
      <c r="M136" s="6" t="n"/>
      <c r="N136" s="6" t="n"/>
      <c r="O136" s="11" t="n"/>
      <c r="P136" s="6" t="n"/>
      <c r="Q136" s="6" t="n"/>
    </row>
    <row r="137">
      <c r="A137" s="6" t="n"/>
      <c r="B137" s="6" t="n"/>
      <c r="C137" s="6" t="n"/>
      <c r="D137" s="6" t="n"/>
      <c r="E137" s="6" t="n"/>
      <c r="F137" s="11" t="n"/>
      <c r="G137" s="6" t="n"/>
      <c r="H137" s="6" t="n"/>
      <c r="I137" s="6" t="n"/>
      <c r="J137" s="6">
        <f>IF(OR($C137="",$I137&lt;&gt;"Evet"),"",SUMIFS($D$2:$D$300,$A$2:$A$300,$A137,$C$2:$C$300,$C137,$E$2:$E$300,$E137,$I$2:$I$300,"Evet"))</f>
        <v/>
      </c>
      <c r="K137" s="6">
        <f>IF($E137="","",VLOOKUP($E137,Listeler!$I$2:$J$4,2,0))</f>
        <v/>
      </c>
      <c r="L137" s="6">
        <f>IF($J137="","",IF($J137&gt;$K137,"ARŞEN ONAYI GEREKLİ","Doğrudan geçer"))</f>
        <v/>
      </c>
      <c r="M137" s="6" t="n"/>
      <c r="N137" s="6" t="n"/>
      <c r="O137" s="11" t="n"/>
      <c r="P137" s="6" t="n"/>
      <c r="Q137" s="6" t="n"/>
    </row>
    <row r="138">
      <c r="A138" s="6" t="n"/>
      <c r="B138" s="6" t="n"/>
      <c r="C138" s="6" t="n"/>
      <c r="D138" s="6" t="n"/>
      <c r="E138" s="6" t="n"/>
      <c r="F138" s="11" t="n"/>
      <c r="G138" s="6" t="n"/>
      <c r="H138" s="6" t="n"/>
      <c r="I138" s="6" t="n"/>
      <c r="J138" s="6">
        <f>IF(OR($C138="",$I138&lt;&gt;"Evet"),"",SUMIFS($D$2:$D$300,$A$2:$A$300,$A138,$C$2:$C$300,$C138,$E$2:$E$300,$E138,$I$2:$I$300,"Evet"))</f>
        <v/>
      </c>
      <c r="K138" s="6">
        <f>IF($E138="","",VLOOKUP($E138,Listeler!$I$2:$J$4,2,0))</f>
        <v/>
      </c>
      <c r="L138" s="6">
        <f>IF($J138="","",IF($J138&gt;$K138,"ARŞEN ONAYI GEREKLİ","Doğrudan geçer"))</f>
        <v/>
      </c>
      <c r="M138" s="6" t="n"/>
      <c r="N138" s="6" t="n"/>
      <c r="O138" s="11" t="n"/>
      <c r="P138" s="6" t="n"/>
      <c r="Q138" s="6" t="n"/>
    </row>
    <row r="139">
      <c r="A139" s="6" t="n"/>
      <c r="B139" s="6" t="n"/>
      <c r="C139" s="6" t="n"/>
      <c r="D139" s="6" t="n"/>
      <c r="E139" s="6" t="n"/>
      <c r="F139" s="11" t="n"/>
      <c r="G139" s="6" t="n"/>
      <c r="H139" s="6" t="n"/>
      <c r="I139" s="6" t="n"/>
      <c r="J139" s="6">
        <f>IF(OR($C139="",$I139&lt;&gt;"Evet"),"",SUMIFS($D$2:$D$300,$A$2:$A$300,$A139,$C$2:$C$300,$C139,$E$2:$E$300,$E139,$I$2:$I$300,"Evet"))</f>
        <v/>
      </c>
      <c r="K139" s="6">
        <f>IF($E139="","",VLOOKUP($E139,Listeler!$I$2:$J$4,2,0))</f>
        <v/>
      </c>
      <c r="L139" s="6">
        <f>IF($J139="","",IF($J139&gt;$K139,"ARŞEN ONAYI GEREKLİ","Doğrudan geçer"))</f>
        <v/>
      </c>
      <c r="M139" s="6" t="n"/>
      <c r="N139" s="6" t="n"/>
      <c r="O139" s="11" t="n"/>
      <c r="P139" s="6" t="n"/>
      <c r="Q139" s="6" t="n"/>
    </row>
    <row r="140">
      <c r="A140" s="6" t="n"/>
      <c r="B140" s="6" t="n"/>
      <c r="C140" s="6" t="n"/>
      <c r="D140" s="6" t="n"/>
      <c r="E140" s="6" t="n"/>
      <c r="F140" s="11" t="n"/>
      <c r="G140" s="6" t="n"/>
      <c r="H140" s="6" t="n"/>
      <c r="I140" s="6" t="n"/>
      <c r="J140" s="6">
        <f>IF(OR($C140="",$I140&lt;&gt;"Evet"),"",SUMIFS($D$2:$D$300,$A$2:$A$300,$A140,$C$2:$C$300,$C140,$E$2:$E$300,$E140,$I$2:$I$300,"Evet"))</f>
        <v/>
      </c>
      <c r="K140" s="6">
        <f>IF($E140="","",VLOOKUP($E140,Listeler!$I$2:$J$4,2,0))</f>
        <v/>
      </c>
      <c r="L140" s="6">
        <f>IF($J140="","",IF($J140&gt;$K140,"ARŞEN ONAYI GEREKLİ","Doğrudan geçer"))</f>
        <v/>
      </c>
      <c r="M140" s="6" t="n"/>
      <c r="N140" s="6" t="n"/>
      <c r="O140" s="11" t="n"/>
      <c r="P140" s="6" t="n"/>
      <c r="Q140" s="6" t="n"/>
    </row>
    <row r="141">
      <c r="A141" s="6" t="n"/>
      <c r="B141" s="6" t="n"/>
      <c r="C141" s="6" t="n"/>
      <c r="D141" s="6" t="n"/>
      <c r="E141" s="6" t="n"/>
      <c r="F141" s="11" t="n"/>
      <c r="G141" s="6" t="n"/>
      <c r="H141" s="6" t="n"/>
      <c r="I141" s="6" t="n"/>
      <c r="J141" s="6">
        <f>IF(OR($C141="",$I141&lt;&gt;"Evet"),"",SUMIFS($D$2:$D$300,$A$2:$A$300,$A141,$C$2:$C$300,$C141,$E$2:$E$300,$E141,$I$2:$I$300,"Evet"))</f>
        <v/>
      </c>
      <c r="K141" s="6">
        <f>IF($E141="","",VLOOKUP($E141,Listeler!$I$2:$J$4,2,0))</f>
        <v/>
      </c>
      <c r="L141" s="6">
        <f>IF($J141="","",IF($J141&gt;$K141,"ARŞEN ONAYI GEREKLİ","Doğrudan geçer"))</f>
        <v/>
      </c>
      <c r="M141" s="6" t="n"/>
      <c r="N141" s="6" t="n"/>
      <c r="O141" s="11" t="n"/>
      <c r="P141" s="6" t="n"/>
      <c r="Q141" s="6" t="n"/>
    </row>
    <row r="142">
      <c r="A142" s="6" t="n"/>
      <c r="B142" s="6" t="n"/>
      <c r="C142" s="6" t="n"/>
      <c r="D142" s="6" t="n"/>
      <c r="E142" s="6" t="n"/>
      <c r="F142" s="11" t="n"/>
      <c r="G142" s="6" t="n"/>
      <c r="H142" s="6" t="n"/>
      <c r="I142" s="6" t="n"/>
      <c r="J142" s="6">
        <f>IF(OR($C142="",$I142&lt;&gt;"Evet"),"",SUMIFS($D$2:$D$300,$A$2:$A$300,$A142,$C$2:$C$300,$C142,$E$2:$E$300,$E142,$I$2:$I$300,"Evet"))</f>
        <v/>
      </c>
      <c r="K142" s="6">
        <f>IF($E142="","",VLOOKUP($E142,Listeler!$I$2:$J$4,2,0))</f>
        <v/>
      </c>
      <c r="L142" s="6">
        <f>IF($J142="","",IF($J142&gt;$K142,"ARŞEN ONAYI GEREKLİ","Doğrudan geçer"))</f>
        <v/>
      </c>
      <c r="M142" s="6" t="n"/>
      <c r="N142" s="6" t="n"/>
      <c r="O142" s="11" t="n"/>
      <c r="P142" s="6" t="n"/>
      <c r="Q142" s="6" t="n"/>
    </row>
    <row r="143">
      <c r="A143" s="6" t="n"/>
      <c r="B143" s="6" t="n"/>
      <c r="C143" s="6" t="n"/>
      <c r="D143" s="6" t="n"/>
      <c r="E143" s="6" t="n"/>
      <c r="F143" s="11" t="n"/>
      <c r="G143" s="6" t="n"/>
      <c r="H143" s="6" t="n"/>
      <c r="I143" s="6" t="n"/>
      <c r="J143" s="6">
        <f>IF(OR($C143="",$I143&lt;&gt;"Evet"),"",SUMIFS($D$2:$D$300,$A$2:$A$300,$A143,$C$2:$C$300,$C143,$E$2:$E$300,$E143,$I$2:$I$300,"Evet"))</f>
        <v/>
      </c>
      <c r="K143" s="6">
        <f>IF($E143="","",VLOOKUP($E143,Listeler!$I$2:$J$4,2,0))</f>
        <v/>
      </c>
      <c r="L143" s="6">
        <f>IF($J143="","",IF($J143&gt;$K143,"ARŞEN ONAYI GEREKLİ","Doğrudan geçer"))</f>
        <v/>
      </c>
      <c r="M143" s="6" t="n"/>
      <c r="N143" s="6" t="n"/>
      <c r="O143" s="11" t="n"/>
      <c r="P143" s="6" t="n"/>
      <c r="Q143" s="6" t="n"/>
    </row>
    <row r="144">
      <c r="A144" s="6" t="n"/>
      <c r="B144" s="6" t="n"/>
      <c r="C144" s="6" t="n"/>
      <c r="D144" s="6" t="n"/>
      <c r="E144" s="6" t="n"/>
      <c r="F144" s="11" t="n"/>
      <c r="G144" s="6" t="n"/>
      <c r="H144" s="6" t="n"/>
      <c r="I144" s="6" t="n"/>
      <c r="J144" s="6">
        <f>IF(OR($C144="",$I144&lt;&gt;"Evet"),"",SUMIFS($D$2:$D$300,$A$2:$A$300,$A144,$C$2:$C$300,$C144,$E$2:$E$300,$E144,$I$2:$I$300,"Evet"))</f>
        <v/>
      </c>
      <c r="K144" s="6">
        <f>IF($E144="","",VLOOKUP($E144,Listeler!$I$2:$J$4,2,0))</f>
        <v/>
      </c>
      <c r="L144" s="6">
        <f>IF($J144="","",IF($J144&gt;$K144,"ARŞEN ONAYI GEREKLİ","Doğrudan geçer"))</f>
        <v/>
      </c>
      <c r="M144" s="6" t="n"/>
      <c r="N144" s="6" t="n"/>
      <c r="O144" s="11" t="n"/>
      <c r="P144" s="6" t="n"/>
      <c r="Q144" s="6" t="n"/>
    </row>
    <row r="145">
      <c r="A145" s="6" t="n"/>
      <c r="B145" s="6" t="n"/>
      <c r="C145" s="6" t="n"/>
      <c r="D145" s="6" t="n"/>
      <c r="E145" s="6" t="n"/>
      <c r="F145" s="11" t="n"/>
      <c r="G145" s="6" t="n"/>
      <c r="H145" s="6" t="n"/>
      <c r="I145" s="6" t="n"/>
      <c r="J145" s="6">
        <f>IF(OR($C145="",$I145&lt;&gt;"Evet"),"",SUMIFS($D$2:$D$300,$A$2:$A$300,$A145,$C$2:$C$300,$C145,$E$2:$E$300,$E145,$I$2:$I$300,"Evet"))</f>
        <v/>
      </c>
      <c r="K145" s="6">
        <f>IF($E145="","",VLOOKUP($E145,Listeler!$I$2:$J$4,2,0))</f>
        <v/>
      </c>
      <c r="L145" s="6">
        <f>IF($J145="","",IF($J145&gt;$K145,"ARŞEN ONAYI GEREKLİ","Doğrudan geçer"))</f>
        <v/>
      </c>
      <c r="M145" s="6" t="n"/>
      <c r="N145" s="6" t="n"/>
      <c r="O145" s="11" t="n"/>
      <c r="P145" s="6" t="n"/>
      <c r="Q145" s="6" t="n"/>
    </row>
    <row r="146">
      <c r="A146" s="6" t="n"/>
      <c r="B146" s="6" t="n"/>
      <c r="C146" s="6" t="n"/>
      <c r="D146" s="6" t="n"/>
      <c r="E146" s="6" t="n"/>
      <c r="F146" s="11" t="n"/>
      <c r="G146" s="6" t="n"/>
      <c r="H146" s="6" t="n"/>
      <c r="I146" s="6" t="n"/>
      <c r="J146" s="6">
        <f>IF(OR($C146="",$I146&lt;&gt;"Evet"),"",SUMIFS($D$2:$D$300,$A$2:$A$300,$A146,$C$2:$C$300,$C146,$E$2:$E$300,$E146,$I$2:$I$300,"Evet"))</f>
        <v/>
      </c>
      <c r="K146" s="6">
        <f>IF($E146="","",VLOOKUP($E146,Listeler!$I$2:$J$4,2,0))</f>
        <v/>
      </c>
      <c r="L146" s="6">
        <f>IF($J146="","",IF($J146&gt;$K146,"ARŞEN ONAYI GEREKLİ","Doğrudan geçer"))</f>
        <v/>
      </c>
      <c r="M146" s="6" t="n"/>
      <c r="N146" s="6" t="n"/>
      <c r="O146" s="11" t="n"/>
      <c r="P146" s="6" t="n"/>
      <c r="Q146" s="6" t="n"/>
    </row>
    <row r="147">
      <c r="A147" s="6" t="n"/>
      <c r="B147" s="6" t="n"/>
      <c r="C147" s="6" t="n"/>
      <c r="D147" s="6" t="n"/>
      <c r="E147" s="6" t="n"/>
      <c r="F147" s="11" t="n"/>
      <c r="G147" s="6" t="n"/>
      <c r="H147" s="6" t="n"/>
      <c r="I147" s="6" t="n"/>
      <c r="J147" s="6">
        <f>IF(OR($C147="",$I147&lt;&gt;"Evet"),"",SUMIFS($D$2:$D$300,$A$2:$A$300,$A147,$C$2:$C$300,$C147,$E$2:$E$300,$E147,$I$2:$I$300,"Evet"))</f>
        <v/>
      </c>
      <c r="K147" s="6">
        <f>IF($E147="","",VLOOKUP($E147,Listeler!$I$2:$J$4,2,0))</f>
        <v/>
      </c>
      <c r="L147" s="6">
        <f>IF($J147="","",IF($J147&gt;$K147,"ARŞEN ONAYI GEREKLİ","Doğrudan geçer"))</f>
        <v/>
      </c>
      <c r="M147" s="6" t="n"/>
      <c r="N147" s="6" t="n"/>
      <c r="O147" s="11" t="n"/>
      <c r="P147" s="6" t="n"/>
      <c r="Q147" s="6" t="n"/>
    </row>
    <row r="148">
      <c r="A148" s="6" t="n"/>
      <c r="B148" s="6" t="n"/>
      <c r="C148" s="6" t="n"/>
      <c r="D148" s="6" t="n"/>
      <c r="E148" s="6" t="n"/>
      <c r="F148" s="11" t="n"/>
      <c r="G148" s="6" t="n"/>
      <c r="H148" s="6" t="n"/>
      <c r="I148" s="6" t="n"/>
      <c r="J148" s="6">
        <f>IF(OR($C148="",$I148&lt;&gt;"Evet"),"",SUMIFS($D$2:$D$300,$A$2:$A$300,$A148,$C$2:$C$300,$C148,$E$2:$E$300,$E148,$I$2:$I$300,"Evet"))</f>
        <v/>
      </c>
      <c r="K148" s="6">
        <f>IF($E148="","",VLOOKUP($E148,Listeler!$I$2:$J$4,2,0))</f>
        <v/>
      </c>
      <c r="L148" s="6">
        <f>IF($J148="","",IF($J148&gt;$K148,"ARŞEN ONAYI GEREKLİ","Doğrudan geçer"))</f>
        <v/>
      </c>
      <c r="M148" s="6" t="n"/>
      <c r="N148" s="6" t="n"/>
      <c r="O148" s="11" t="n"/>
      <c r="P148" s="6" t="n"/>
      <c r="Q148" s="6" t="n"/>
    </row>
    <row r="149">
      <c r="A149" s="6" t="n"/>
      <c r="B149" s="6" t="n"/>
      <c r="C149" s="6" t="n"/>
      <c r="D149" s="6" t="n"/>
      <c r="E149" s="6" t="n"/>
      <c r="F149" s="11" t="n"/>
      <c r="G149" s="6" t="n"/>
      <c r="H149" s="6" t="n"/>
      <c r="I149" s="6" t="n"/>
      <c r="J149" s="6">
        <f>IF(OR($C149="",$I149&lt;&gt;"Evet"),"",SUMIFS($D$2:$D$300,$A$2:$A$300,$A149,$C$2:$C$300,$C149,$E$2:$E$300,$E149,$I$2:$I$300,"Evet"))</f>
        <v/>
      </c>
      <c r="K149" s="6">
        <f>IF($E149="","",VLOOKUP($E149,Listeler!$I$2:$J$4,2,0))</f>
        <v/>
      </c>
      <c r="L149" s="6">
        <f>IF($J149="","",IF($J149&gt;$K149,"ARŞEN ONAYI GEREKLİ","Doğrudan geçer"))</f>
        <v/>
      </c>
      <c r="M149" s="6" t="n"/>
      <c r="N149" s="6" t="n"/>
      <c r="O149" s="11" t="n"/>
      <c r="P149" s="6" t="n"/>
      <c r="Q149" s="6" t="n"/>
    </row>
    <row r="150">
      <c r="A150" s="6" t="n"/>
      <c r="B150" s="6" t="n"/>
      <c r="C150" s="6" t="n"/>
      <c r="D150" s="6" t="n"/>
      <c r="E150" s="6" t="n"/>
      <c r="F150" s="11" t="n"/>
      <c r="G150" s="6" t="n"/>
      <c r="H150" s="6" t="n"/>
      <c r="I150" s="6" t="n"/>
      <c r="J150" s="6">
        <f>IF(OR($C150="",$I150&lt;&gt;"Evet"),"",SUMIFS($D$2:$D$300,$A$2:$A$300,$A150,$C$2:$C$300,$C150,$E$2:$E$300,$E150,$I$2:$I$300,"Evet"))</f>
        <v/>
      </c>
      <c r="K150" s="6">
        <f>IF($E150="","",VLOOKUP($E150,Listeler!$I$2:$J$4,2,0))</f>
        <v/>
      </c>
      <c r="L150" s="6">
        <f>IF($J150="","",IF($J150&gt;$K150,"ARŞEN ONAYI GEREKLİ","Doğrudan geçer"))</f>
        <v/>
      </c>
      <c r="M150" s="6" t="n"/>
      <c r="N150" s="6" t="n"/>
      <c r="O150" s="11" t="n"/>
      <c r="P150" s="6" t="n"/>
      <c r="Q150" s="6" t="n"/>
    </row>
    <row r="151">
      <c r="A151" s="6" t="n"/>
      <c r="B151" s="6" t="n"/>
      <c r="C151" s="6" t="n"/>
      <c r="D151" s="6" t="n"/>
      <c r="E151" s="6" t="n"/>
      <c r="F151" s="11" t="n"/>
      <c r="G151" s="6" t="n"/>
      <c r="H151" s="6" t="n"/>
      <c r="I151" s="6" t="n"/>
      <c r="J151" s="6">
        <f>IF(OR($C151="",$I151&lt;&gt;"Evet"),"",SUMIFS($D$2:$D$300,$A$2:$A$300,$A151,$C$2:$C$300,$C151,$E$2:$E$300,$E151,$I$2:$I$300,"Evet"))</f>
        <v/>
      </c>
      <c r="K151" s="6">
        <f>IF($E151="","",VLOOKUP($E151,Listeler!$I$2:$J$4,2,0))</f>
        <v/>
      </c>
      <c r="L151" s="6">
        <f>IF($J151="","",IF($J151&gt;$K151,"ARŞEN ONAYI GEREKLİ","Doğrudan geçer"))</f>
        <v/>
      </c>
      <c r="M151" s="6" t="n"/>
      <c r="N151" s="6" t="n"/>
      <c r="O151" s="11" t="n"/>
      <c r="P151" s="6" t="n"/>
      <c r="Q151" s="6" t="n"/>
    </row>
    <row r="152">
      <c r="A152" s="6" t="n"/>
      <c r="B152" s="6" t="n"/>
      <c r="C152" s="6" t="n"/>
      <c r="D152" s="6" t="n"/>
      <c r="E152" s="6" t="n"/>
      <c r="F152" s="11" t="n"/>
      <c r="G152" s="6" t="n"/>
      <c r="H152" s="6" t="n"/>
      <c r="I152" s="6" t="n"/>
      <c r="J152" s="6">
        <f>IF(OR($C152="",$I152&lt;&gt;"Evet"),"",SUMIFS($D$2:$D$300,$A$2:$A$300,$A152,$C$2:$C$300,$C152,$E$2:$E$300,$E152,$I$2:$I$300,"Evet"))</f>
        <v/>
      </c>
      <c r="K152" s="6">
        <f>IF($E152="","",VLOOKUP($E152,Listeler!$I$2:$J$4,2,0))</f>
        <v/>
      </c>
      <c r="L152" s="6">
        <f>IF($J152="","",IF($J152&gt;$K152,"ARŞEN ONAYI GEREKLİ","Doğrudan geçer"))</f>
        <v/>
      </c>
      <c r="M152" s="6" t="n"/>
      <c r="N152" s="6" t="n"/>
      <c r="O152" s="11" t="n"/>
      <c r="P152" s="6" t="n"/>
      <c r="Q152" s="6" t="n"/>
    </row>
    <row r="153">
      <c r="A153" s="6" t="n"/>
      <c r="B153" s="6" t="n"/>
      <c r="C153" s="6" t="n"/>
      <c r="D153" s="6" t="n"/>
      <c r="E153" s="6" t="n"/>
      <c r="F153" s="11" t="n"/>
      <c r="G153" s="6" t="n"/>
      <c r="H153" s="6" t="n"/>
      <c r="I153" s="6" t="n"/>
      <c r="J153" s="6">
        <f>IF(OR($C153="",$I153&lt;&gt;"Evet"),"",SUMIFS($D$2:$D$300,$A$2:$A$300,$A153,$C$2:$C$300,$C153,$E$2:$E$300,$E153,$I$2:$I$300,"Evet"))</f>
        <v/>
      </c>
      <c r="K153" s="6">
        <f>IF($E153="","",VLOOKUP($E153,Listeler!$I$2:$J$4,2,0))</f>
        <v/>
      </c>
      <c r="L153" s="6">
        <f>IF($J153="","",IF($J153&gt;$K153,"ARŞEN ONAYI GEREKLİ","Doğrudan geçer"))</f>
        <v/>
      </c>
      <c r="M153" s="6" t="n"/>
      <c r="N153" s="6" t="n"/>
      <c r="O153" s="11" t="n"/>
      <c r="P153" s="6" t="n"/>
      <c r="Q153" s="6" t="n"/>
    </row>
    <row r="154">
      <c r="A154" s="6" t="n"/>
      <c r="B154" s="6" t="n"/>
      <c r="C154" s="6" t="n"/>
      <c r="D154" s="6" t="n"/>
      <c r="E154" s="6" t="n"/>
      <c r="F154" s="11" t="n"/>
      <c r="G154" s="6" t="n"/>
      <c r="H154" s="6" t="n"/>
      <c r="I154" s="6" t="n"/>
      <c r="J154" s="6">
        <f>IF(OR($C154="",$I154&lt;&gt;"Evet"),"",SUMIFS($D$2:$D$300,$A$2:$A$300,$A154,$C$2:$C$300,$C154,$E$2:$E$300,$E154,$I$2:$I$300,"Evet"))</f>
        <v/>
      </c>
      <c r="K154" s="6">
        <f>IF($E154="","",VLOOKUP($E154,Listeler!$I$2:$J$4,2,0))</f>
        <v/>
      </c>
      <c r="L154" s="6">
        <f>IF($J154="","",IF($J154&gt;$K154,"ARŞEN ONAYI GEREKLİ","Doğrudan geçer"))</f>
        <v/>
      </c>
      <c r="M154" s="6" t="n"/>
      <c r="N154" s="6" t="n"/>
      <c r="O154" s="11" t="n"/>
      <c r="P154" s="6" t="n"/>
      <c r="Q154" s="6" t="n"/>
    </row>
    <row r="155">
      <c r="A155" s="6" t="n"/>
      <c r="B155" s="6" t="n"/>
      <c r="C155" s="6" t="n"/>
      <c r="D155" s="6" t="n"/>
      <c r="E155" s="6" t="n"/>
      <c r="F155" s="11" t="n"/>
      <c r="G155" s="6" t="n"/>
      <c r="H155" s="6" t="n"/>
      <c r="I155" s="6" t="n"/>
      <c r="J155" s="6">
        <f>IF(OR($C155="",$I155&lt;&gt;"Evet"),"",SUMIFS($D$2:$D$300,$A$2:$A$300,$A155,$C$2:$C$300,$C155,$E$2:$E$300,$E155,$I$2:$I$300,"Evet"))</f>
        <v/>
      </c>
      <c r="K155" s="6">
        <f>IF($E155="","",VLOOKUP($E155,Listeler!$I$2:$J$4,2,0))</f>
        <v/>
      </c>
      <c r="L155" s="6">
        <f>IF($J155="","",IF($J155&gt;$K155,"ARŞEN ONAYI GEREKLİ","Doğrudan geçer"))</f>
        <v/>
      </c>
      <c r="M155" s="6" t="n"/>
      <c r="N155" s="6" t="n"/>
      <c r="O155" s="11" t="n"/>
      <c r="P155" s="6" t="n"/>
      <c r="Q155" s="6" t="n"/>
    </row>
    <row r="156">
      <c r="A156" s="6" t="n"/>
      <c r="B156" s="6" t="n"/>
      <c r="C156" s="6" t="n"/>
      <c r="D156" s="6" t="n"/>
      <c r="E156" s="6" t="n"/>
      <c r="F156" s="11" t="n"/>
      <c r="G156" s="6" t="n"/>
      <c r="H156" s="6" t="n"/>
      <c r="I156" s="6" t="n"/>
      <c r="J156" s="6">
        <f>IF(OR($C156="",$I156&lt;&gt;"Evet"),"",SUMIFS($D$2:$D$300,$A$2:$A$300,$A156,$C$2:$C$300,$C156,$E$2:$E$300,$E156,$I$2:$I$300,"Evet"))</f>
        <v/>
      </c>
      <c r="K156" s="6">
        <f>IF($E156="","",VLOOKUP($E156,Listeler!$I$2:$J$4,2,0))</f>
        <v/>
      </c>
      <c r="L156" s="6">
        <f>IF($J156="","",IF($J156&gt;$K156,"ARŞEN ONAYI GEREKLİ","Doğrudan geçer"))</f>
        <v/>
      </c>
      <c r="M156" s="6" t="n"/>
      <c r="N156" s="6" t="n"/>
      <c r="O156" s="11" t="n"/>
      <c r="P156" s="6" t="n"/>
      <c r="Q156" s="6" t="n"/>
    </row>
    <row r="157">
      <c r="A157" s="6" t="n"/>
      <c r="B157" s="6" t="n"/>
      <c r="C157" s="6" t="n"/>
      <c r="D157" s="6" t="n"/>
      <c r="E157" s="6" t="n"/>
      <c r="F157" s="11" t="n"/>
      <c r="G157" s="6" t="n"/>
      <c r="H157" s="6" t="n"/>
      <c r="I157" s="6" t="n"/>
      <c r="J157" s="6">
        <f>IF(OR($C157="",$I157&lt;&gt;"Evet"),"",SUMIFS($D$2:$D$300,$A$2:$A$300,$A157,$C$2:$C$300,$C157,$E$2:$E$300,$E157,$I$2:$I$300,"Evet"))</f>
        <v/>
      </c>
      <c r="K157" s="6">
        <f>IF($E157="","",VLOOKUP($E157,Listeler!$I$2:$J$4,2,0))</f>
        <v/>
      </c>
      <c r="L157" s="6">
        <f>IF($J157="","",IF($J157&gt;$K157,"ARŞEN ONAYI GEREKLİ","Doğrudan geçer"))</f>
        <v/>
      </c>
      <c r="M157" s="6" t="n"/>
      <c r="N157" s="6" t="n"/>
      <c r="O157" s="11" t="n"/>
      <c r="P157" s="6" t="n"/>
      <c r="Q157" s="6" t="n"/>
    </row>
    <row r="158">
      <c r="A158" s="6" t="n"/>
      <c r="B158" s="6" t="n"/>
      <c r="C158" s="6" t="n"/>
      <c r="D158" s="6" t="n"/>
      <c r="E158" s="6" t="n"/>
      <c r="F158" s="11" t="n"/>
      <c r="G158" s="6" t="n"/>
      <c r="H158" s="6" t="n"/>
      <c r="I158" s="6" t="n"/>
      <c r="J158" s="6">
        <f>IF(OR($C158="",$I158&lt;&gt;"Evet"),"",SUMIFS($D$2:$D$300,$A$2:$A$300,$A158,$C$2:$C$300,$C158,$E$2:$E$300,$E158,$I$2:$I$300,"Evet"))</f>
        <v/>
      </c>
      <c r="K158" s="6">
        <f>IF($E158="","",VLOOKUP($E158,Listeler!$I$2:$J$4,2,0))</f>
        <v/>
      </c>
      <c r="L158" s="6">
        <f>IF($J158="","",IF($J158&gt;$K158,"ARŞEN ONAYI GEREKLİ","Doğrudan geçer"))</f>
        <v/>
      </c>
      <c r="M158" s="6" t="n"/>
      <c r="N158" s="6" t="n"/>
      <c r="O158" s="11" t="n"/>
      <c r="P158" s="6" t="n"/>
      <c r="Q158" s="6" t="n"/>
    </row>
    <row r="159">
      <c r="A159" s="6" t="n"/>
      <c r="B159" s="6" t="n"/>
      <c r="C159" s="6" t="n"/>
      <c r="D159" s="6" t="n"/>
      <c r="E159" s="6" t="n"/>
      <c r="F159" s="11" t="n"/>
      <c r="G159" s="6" t="n"/>
      <c r="H159" s="6" t="n"/>
      <c r="I159" s="6" t="n"/>
      <c r="J159" s="6">
        <f>IF(OR($C159="",$I159&lt;&gt;"Evet"),"",SUMIFS($D$2:$D$300,$A$2:$A$300,$A159,$C$2:$C$300,$C159,$E$2:$E$300,$E159,$I$2:$I$300,"Evet"))</f>
        <v/>
      </c>
      <c r="K159" s="6">
        <f>IF($E159="","",VLOOKUP($E159,Listeler!$I$2:$J$4,2,0))</f>
        <v/>
      </c>
      <c r="L159" s="6">
        <f>IF($J159="","",IF($J159&gt;$K159,"ARŞEN ONAYI GEREKLİ","Doğrudan geçer"))</f>
        <v/>
      </c>
      <c r="M159" s="6" t="n"/>
      <c r="N159" s="6" t="n"/>
      <c r="O159" s="11" t="n"/>
      <c r="P159" s="6" t="n"/>
      <c r="Q159" s="6" t="n"/>
    </row>
    <row r="160">
      <c r="A160" s="6" t="n"/>
      <c r="B160" s="6" t="n"/>
      <c r="C160" s="6" t="n"/>
      <c r="D160" s="6" t="n"/>
      <c r="E160" s="6" t="n"/>
      <c r="F160" s="11" t="n"/>
      <c r="G160" s="6" t="n"/>
      <c r="H160" s="6" t="n"/>
      <c r="I160" s="6" t="n"/>
      <c r="J160" s="6">
        <f>IF(OR($C160="",$I160&lt;&gt;"Evet"),"",SUMIFS($D$2:$D$300,$A$2:$A$300,$A160,$C$2:$C$300,$C160,$E$2:$E$300,$E160,$I$2:$I$300,"Evet"))</f>
        <v/>
      </c>
      <c r="K160" s="6">
        <f>IF($E160="","",VLOOKUP($E160,Listeler!$I$2:$J$4,2,0))</f>
        <v/>
      </c>
      <c r="L160" s="6">
        <f>IF($J160="","",IF($J160&gt;$K160,"ARŞEN ONAYI GEREKLİ","Doğrudan geçer"))</f>
        <v/>
      </c>
      <c r="M160" s="6" t="n"/>
      <c r="N160" s="6" t="n"/>
      <c r="O160" s="11" t="n"/>
      <c r="P160" s="6" t="n"/>
      <c r="Q160" s="6" t="n"/>
    </row>
    <row r="161">
      <c r="A161" s="6" t="n"/>
      <c r="B161" s="6" t="n"/>
      <c r="C161" s="6" t="n"/>
      <c r="D161" s="6" t="n"/>
      <c r="E161" s="6" t="n"/>
      <c r="F161" s="11" t="n"/>
      <c r="G161" s="6" t="n"/>
      <c r="H161" s="6" t="n"/>
      <c r="I161" s="6" t="n"/>
      <c r="J161" s="6">
        <f>IF(OR($C161="",$I161&lt;&gt;"Evet"),"",SUMIFS($D$2:$D$300,$A$2:$A$300,$A161,$C$2:$C$300,$C161,$E$2:$E$300,$E161,$I$2:$I$300,"Evet"))</f>
        <v/>
      </c>
      <c r="K161" s="6">
        <f>IF($E161="","",VLOOKUP($E161,Listeler!$I$2:$J$4,2,0))</f>
        <v/>
      </c>
      <c r="L161" s="6">
        <f>IF($J161="","",IF($J161&gt;$K161,"ARŞEN ONAYI GEREKLİ","Doğrudan geçer"))</f>
        <v/>
      </c>
      <c r="M161" s="6" t="n"/>
      <c r="N161" s="6" t="n"/>
      <c r="O161" s="11" t="n"/>
      <c r="P161" s="6" t="n"/>
      <c r="Q161" s="6" t="n"/>
    </row>
    <row r="162">
      <c r="A162" s="6" t="n"/>
      <c r="B162" s="6" t="n"/>
      <c r="C162" s="6" t="n"/>
      <c r="D162" s="6" t="n"/>
      <c r="E162" s="6" t="n"/>
      <c r="F162" s="11" t="n"/>
      <c r="G162" s="6" t="n"/>
      <c r="H162" s="6" t="n"/>
      <c r="I162" s="6" t="n"/>
      <c r="J162" s="6">
        <f>IF(OR($C162="",$I162&lt;&gt;"Evet"),"",SUMIFS($D$2:$D$300,$A$2:$A$300,$A162,$C$2:$C$300,$C162,$E$2:$E$300,$E162,$I$2:$I$300,"Evet"))</f>
        <v/>
      </c>
      <c r="K162" s="6">
        <f>IF($E162="","",VLOOKUP($E162,Listeler!$I$2:$J$4,2,0))</f>
        <v/>
      </c>
      <c r="L162" s="6">
        <f>IF($J162="","",IF($J162&gt;$K162,"ARŞEN ONAYI GEREKLİ","Doğrudan geçer"))</f>
        <v/>
      </c>
      <c r="M162" s="6" t="n"/>
      <c r="N162" s="6" t="n"/>
      <c r="O162" s="11" t="n"/>
      <c r="P162" s="6" t="n"/>
      <c r="Q162" s="6" t="n"/>
    </row>
    <row r="163">
      <c r="A163" s="6" t="n"/>
      <c r="B163" s="6" t="n"/>
      <c r="C163" s="6" t="n"/>
      <c r="D163" s="6" t="n"/>
      <c r="E163" s="6" t="n"/>
      <c r="F163" s="11" t="n"/>
      <c r="G163" s="6" t="n"/>
      <c r="H163" s="6" t="n"/>
      <c r="I163" s="6" t="n"/>
      <c r="J163" s="6">
        <f>IF(OR($C163="",$I163&lt;&gt;"Evet"),"",SUMIFS($D$2:$D$300,$A$2:$A$300,$A163,$C$2:$C$300,$C163,$E$2:$E$300,$E163,$I$2:$I$300,"Evet"))</f>
        <v/>
      </c>
      <c r="K163" s="6">
        <f>IF($E163="","",VLOOKUP($E163,Listeler!$I$2:$J$4,2,0))</f>
        <v/>
      </c>
      <c r="L163" s="6">
        <f>IF($J163="","",IF($J163&gt;$K163,"ARŞEN ONAYI GEREKLİ","Doğrudan geçer"))</f>
        <v/>
      </c>
      <c r="M163" s="6" t="n"/>
      <c r="N163" s="6" t="n"/>
      <c r="O163" s="11" t="n"/>
      <c r="P163" s="6" t="n"/>
      <c r="Q163" s="6" t="n"/>
    </row>
    <row r="164">
      <c r="A164" s="6" t="n"/>
      <c r="B164" s="6" t="n"/>
      <c r="C164" s="6" t="n"/>
      <c r="D164" s="6" t="n"/>
      <c r="E164" s="6" t="n"/>
      <c r="F164" s="11" t="n"/>
      <c r="G164" s="6" t="n"/>
      <c r="H164" s="6" t="n"/>
      <c r="I164" s="6" t="n"/>
      <c r="J164" s="6">
        <f>IF(OR($C164="",$I164&lt;&gt;"Evet"),"",SUMIFS($D$2:$D$300,$A$2:$A$300,$A164,$C$2:$C$300,$C164,$E$2:$E$300,$E164,$I$2:$I$300,"Evet"))</f>
        <v/>
      </c>
      <c r="K164" s="6">
        <f>IF($E164="","",VLOOKUP($E164,Listeler!$I$2:$J$4,2,0))</f>
        <v/>
      </c>
      <c r="L164" s="6">
        <f>IF($J164="","",IF($J164&gt;$K164,"ARŞEN ONAYI GEREKLİ","Doğrudan geçer"))</f>
        <v/>
      </c>
      <c r="M164" s="6" t="n"/>
      <c r="N164" s="6" t="n"/>
      <c r="O164" s="11" t="n"/>
      <c r="P164" s="6" t="n"/>
      <c r="Q164" s="6" t="n"/>
    </row>
    <row r="165">
      <c r="A165" s="6" t="n"/>
      <c r="B165" s="6" t="n"/>
      <c r="C165" s="6" t="n"/>
      <c r="D165" s="6" t="n"/>
      <c r="E165" s="6" t="n"/>
      <c r="F165" s="11" t="n"/>
      <c r="G165" s="6" t="n"/>
      <c r="H165" s="6" t="n"/>
      <c r="I165" s="6" t="n"/>
      <c r="J165" s="6">
        <f>IF(OR($C165="",$I165&lt;&gt;"Evet"),"",SUMIFS($D$2:$D$300,$A$2:$A$300,$A165,$C$2:$C$300,$C165,$E$2:$E$300,$E165,$I$2:$I$300,"Evet"))</f>
        <v/>
      </c>
      <c r="K165" s="6">
        <f>IF($E165="","",VLOOKUP($E165,Listeler!$I$2:$J$4,2,0))</f>
        <v/>
      </c>
      <c r="L165" s="6">
        <f>IF($J165="","",IF($J165&gt;$K165,"ARŞEN ONAYI GEREKLİ","Doğrudan geçer"))</f>
        <v/>
      </c>
      <c r="M165" s="6" t="n"/>
      <c r="N165" s="6" t="n"/>
      <c r="O165" s="11" t="n"/>
      <c r="P165" s="6" t="n"/>
      <c r="Q165" s="6" t="n"/>
    </row>
    <row r="166">
      <c r="A166" s="6" t="n"/>
      <c r="B166" s="6" t="n"/>
      <c r="C166" s="6" t="n"/>
      <c r="D166" s="6" t="n"/>
      <c r="E166" s="6" t="n"/>
      <c r="F166" s="11" t="n"/>
      <c r="G166" s="6" t="n"/>
      <c r="H166" s="6" t="n"/>
      <c r="I166" s="6" t="n"/>
      <c r="J166" s="6">
        <f>IF(OR($C166="",$I166&lt;&gt;"Evet"),"",SUMIFS($D$2:$D$300,$A$2:$A$300,$A166,$C$2:$C$300,$C166,$E$2:$E$300,$E166,$I$2:$I$300,"Evet"))</f>
        <v/>
      </c>
      <c r="K166" s="6">
        <f>IF($E166="","",VLOOKUP($E166,Listeler!$I$2:$J$4,2,0))</f>
        <v/>
      </c>
      <c r="L166" s="6">
        <f>IF($J166="","",IF($J166&gt;$K166,"ARŞEN ONAYI GEREKLİ","Doğrudan geçer"))</f>
        <v/>
      </c>
      <c r="M166" s="6" t="n"/>
      <c r="N166" s="6" t="n"/>
      <c r="O166" s="11" t="n"/>
      <c r="P166" s="6" t="n"/>
      <c r="Q166" s="6" t="n"/>
    </row>
    <row r="167">
      <c r="A167" s="6" t="n"/>
      <c r="B167" s="6" t="n"/>
      <c r="C167" s="6" t="n"/>
      <c r="D167" s="6" t="n"/>
      <c r="E167" s="6" t="n"/>
      <c r="F167" s="11" t="n"/>
      <c r="G167" s="6" t="n"/>
      <c r="H167" s="6" t="n"/>
      <c r="I167" s="6" t="n"/>
      <c r="J167" s="6">
        <f>IF(OR($C167="",$I167&lt;&gt;"Evet"),"",SUMIFS($D$2:$D$300,$A$2:$A$300,$A167,$C$2:$C$300,$C167,$E$2:$E$300,$E167,$I$2:$I$300,"Evet"))</f>
        <v/>
      </c>
      <c r="K167" s="6">
        <f>IF($E167="","",VLOOKUP($E167,Listeler!$I$2:$J$4,2,0))</f>
        <v/>
      </c>
      <c r="L167" s="6">
        <f>IF($J167="","",IF($J167&gt;$K167,"ARŞEN ONAYI GEREKLİ","Doğrudan geçer"))</f>
        <v/>
      </c>
      <c r="M167" s="6" t="n"/>
      <c r="N167" s="6" t="n"/>
      <c r="O167" s="11" t="n"/>
      <c r="P167" s="6" t="n"/>
      <c r="Q167" s="6" t="n"/>
    </row>
    <row r="168">
      <c r="A168" s="6" t="n"/>
      <c r="B168" s="6" t="n"/>
      <c r="C168" s="6" t="n"/>
      <c r="D168" s="6" t="n"/>
      <c r="E168" s="6" t="n"/>
      <c r="F168" s="11" t="n"/>
      <c r="G168" s="6" t="n"/>
      <c r="H168" s="6" t="n"/>
      <c r="I168" s="6" t="n"/>
      <c r="J168" s="6">
        <f>IF(OR($C168="",$I168&lt;&gt;"Evet"),"",SUMIFS($D$2:$D$300,$A$2:$A$300,$A168,$C$2:$C$300,$C168,$E$2:$E$300,$E168,$I$2:$I$300,"Evet"))</f>
        <v/>
      </c>
      <c r="K168" s="6">
        <f>IF($E168="","",VLOOKUP($E168,Listeler!$I$2:$J$4,2,0))</f>
        <v/>
      </c>
      <c r="L168" s="6">
        <f>IF($J168="","",IF($J168&gt;$K168,"ARŞEN ONAYI GEREKLİ","Doğrudan geçer"))</f>
        <v/>
      </c>
      <c r="M168" s="6" t="n"/>
      <c r="N168" s="6" t="n"/>
      <c r="O168" s="11" t="n"/>
      <c r="P168" s="6" t="n"/>
      <c r="Q168" s="6" t="n"/>
    </row>
    <row r="169">
      <c r="A169" s="6" t="n"/>
      <c r="B169" s="6" t="n"/>
      <c r="C169" s="6" t="n"/>
      <c r="D169" s="6" t="n"/>
      <c r="E169" s="6" t="n"/>
      <c r="F169" s="11" t="n"/>
      <c r="G169" s="6" t="n"/>
      <c r="H169" s="6" t="n"/>
      <c r="I169" s="6" t="n"/>
      <c r="J169" s="6">
        <f>IF(OR($C169="",$I169&lt;&gt;"Evet"),"",SUMIFS($D$2:$D$300,$A$2:$A$300,$A169,$C$2:$C$300,$C169,$E$2:$E$300,$E169,$I$2:$I$300,"Evet"))</f>
        <v/>
      </c>
      <c r="K169" s="6">
        <f>IF($E169="","",VLOOKUP($E169,Listeler!$I$2:$J$4,2,0))</f>
        <v/>
      </c>
      <c r="L169" s="6">
        <f>IF($J169="","",IF($J169&gt;$K169,"ARŞEN ONAYI GEREKLİ","Doğrudan geçer"))</f>
        <v/>
      </c>
      <c r="M169" s="6" t="n"/>
      <c r="N169" s="6" t="n"/>
      <c r="O169" s="11" t="n"/>
      <c r="P169" s="6" t="n"/>
      <c r="Q169" s="6" t="n"/>
    </row>
    <row r="170">
      <c r="A170" s="6" t="n"/>
      <c r="B170" s="6" t="n"/>
      <c r="C170" s="6" t="n"/>
      <c r="D170" s="6" t="n"/>
      <c r="E170" s="6" t="n"/>
      <c r="F170" s="11" t="n"/>
      <c r="G170" s="6" t="n"/>
      <c r="H170" s="6" t="n"/>
      <c r="I170" s="6" t="n"/>
      <c r="J170" s="6">
        <f>IF(OR($C170="",$I170&lt;&gt;"Evet"),"",SUMIFS($D$2:$D$300,$A$2:$A$300,$A170,$C$2:$C$300,$C170,$E$2:$E$300,$E170,$I$2:$I$300,"Evet"))</f>
        <v/>
      </c>
      <c r="K170" s="6">
        <f>IF($E170="","",VLOOKUP($E170,Listeler!$I$2:$J$4,2,0))</f>
        <v/>
      </c>
      <c r="L170" s="6">
        <f>IF($J170="","",IF($J170&gt;$K170,"ARŞEN ONAYI GEREKLİ","Doğrudan geçer"))</f>
        <v/>
      </c>
      <c r="M170" s="6" t="n"/>
      <c r="N170" s="6" t="n"/>
      <c r="O170" s="11" t="n"/>
      <c r="P170" s="6" t="n"/>
      <c r="Q170" s="6" t="n"/>
    </row>
    <row r="171">
      <c r="A171" s="6" t="n"/>
      <c r="B171" s="6" t="n"/>
      <c r="C171" s="6" t="n"/>
      <c r="D171" s="6" t="n"/>
      <c r="E171" s="6" t="n"/>
      <c r="F171" s="11" t="n"/>
      <c r="G171" s="6" t="n"/>
      <c r="H171" s="6" t="n"/>
      <c r="I171" s="6" t="n"/>
      <c r="J171" s="6">
        <f>IF(OR($C171="",$I171&lt;&gt;"Evet"),"",SUMIFS($D$2:$D$300,$A$2:$A$300,$A171,$C$2:$C$300,$C171,$E$2:$E$300,$E171,$I$2:$I$300,"Evet"))</f>
        <v/>
      </c>
      <c r="K171" s="6">
        <f>IF($E171="","",VLOOKUP($E171,Listeler!$I$2:$J$4,2,0))</f>
        <v/>
      </c>
      <c r="L171" s="6">
        <f>IF($J171="","",IF($J171&gt;$K171,"ARŞEN ONAYI GEREKLİ","Doğrudan geçer"))</f>
        <v/>
      </c>
      <c r="M171" s="6" t="n"/>
      <c r="N171" s="6" t="n"/>
      <c r="O171" s="11" t="n"/>
      <c r="P171" s="6" t="n"/>
      <c r="Q171" s="6" t="n"/>
    </row>
    <row r="172">
      <c r="A172" s="6" t="n"/>
      <c r="B172" s="6" t="n"/>
      <c r="C172" s="6" t="n"/>
      <c r="D172" s="6" t="n"/>
      <c r="E172" s="6" t="n"/>
      <c r="F172" s="11" t="n"/>
      <c r="G172" s="6" t="n"/>
      <c r="H172" s="6" t="n"/>
      <c r="I172" s="6" t="n"/>
      <c r="J172" s="6">
        <f>IF(OR($C172="",$I172&lt;&gt;"Evet"),"",SUMIFS($D$2:$D$300,$A$2:$A$300,$A172,$C$2:$C$300,$C172,$E$2:$E$300,$E172,$I$2:$I$300,"Evet"))</f>
        <v/>
      </c>
      <c r="K172" s="6">
        <f>IF($E172="","",VLOOKUP($E172,Listeler!$I$2:$J$4,2,0))</f>
        <v/>
      </c>
      <c r="L172" s="6">
        <f>IF($J172="","",IF($J172&gt;$K172,"ARŞEN ONAYI GEREKLİ","Doğrudan geçer"))</f>
        <v/>
      </c>
      <c r="M172" s="6" t="n"/>
      <c r="N172" s="6" t="n"/>
      <c r="O172" s="11" t="n"/>
      <c r="P172" s="6" t="n"/>
      <c r="Q172" s="6" t="n"/>
    </row>
    <row r="173">
      <c r="A173" s="6" t="n"/>
      <c r="B173" s="6" t="n"/>
      <c r="C173" s="6" t="n"/>
      <c r="D173" s="6" t="n"/>
      <c r="E173" s="6" t="n"/>
      <c r="F173" s="11" t="n"/>
      <c r="G173" s="6" t="n"/>
      <c r="H173" s="6" t="n"/>
      <c r="I173" s="6" t="n"/>
      <c r="J173" s="6">
        <f>IF(OR($C173="",$I173&lt;&gt;"Evet"),"",SUMIFS($D$2:$D$300,$A$2:$A$300,$A173,$C$2:$C$300,$C173,$E$2:$E$300,$E173,$I$2:$I$300,"Evet"))</f>
        <v/>
      </c>
      <c r="K173" s="6">
        <f>IF($E173="","",VLOOKUP($E173,Listeler!$I$2:$J$4,2,0))</f>
        <v/>
      </c>
      <c r="L173" s="6">
        <f>IF($J173="","",IF($J173&gt;$K173,"ARŞEN ONAYI GEREKLİ","Doğrudan geçer"))</f>
        <v/>
      </c>
      <c r="M173" s="6" t="n"/>
      <c r="N173" s="6" t="n"/>
      <c r="O173" s="11" t="n"/>
      <c r="P173" s="6" t="n"/>
      <c r="Q173" s="6" t="n"/>
    </row>
    <row r="174">
      <c r="A174" s="6" t="n"/>
      <c r="B174" s="6" t="n"/>
      <c r="C174" s="6" t="n"/>
      <c r="D174" s="6" t="n"/>
      <c r="E174" s="6" t="n"/>
      <c r="F174" s="11" t="n"/>
      <c r="G174" s="6" t="n"/>
      <c r="H174" s="6" t="n"/>
      <c r="I174" s="6" t="n"/>
      <c r="J174" s="6">
        <f>IF(OR($C174="",$I174&lt;&gt;"Evet"),"",SUMIFS($D$2:$D$300,$A$2:$A$300,$A174,$C$2:$C$300,$C174,$E$2:$E$300,$E174,$I$2:$I$300,"Evet"))</f>
        <v/>
      </c>
      <c r="K174" s="6">
        <f>IF($E174="","",VLOOKUP($E174,Listeler!$I$2:$J$4,2,0))</f>
        <v/>
      </c>
      <c r="L174" s="6">
        <f>IF($J174="","",IF($J174&gt;$K174,"ARŞEN ONAYI GEREKLİ","Doğrudan geçer"))</f>
        <v/>
      </c>
      <c r="M174" s="6" t="n"/>
      <c r="N174" s="6" t="n"/>
      <c r="O174" s="11" t="n"/>
      <c r="P174" s="6" t="n"/>
      <c r="Q174" s="6" t="n"/>
    </row>
    <row r="175">
      <c r="A175" s="6" t="n"/>
      <c r="B175" s="6" t="n"/>
      <c r="C175" s="6" t="n"/>
      <c r="D175" s="6" t="n"/>
      <c r="E175" s="6" t="n"/>
      <c r="F175" s="11" t="n"/>
      <c r="G175" s="6" t="n"/>
      <c r="H175" s="6" t="n"/>
      <c r="I175" s="6" t="n"/>
      <c r="J175" s="6">
        <f>IF(OR($C175="",$I175&lt;&gt;"Evet"),"",SUMIFS($D$2:$D$300,$A$2:$A$300,$A175,$C$2:$C$300,$C175,$E$2:$E$300,$E175,$I$2:$I$300,"Evet"))</f>
        <v/>
      </c>
      <c r="K175" s="6">
        <f>IF($E175="","",VLOOKUP($E175,Listeler!$I$2:$J$4,2,0))</f>
        <v/>
      </c>
      <c r="L175" s="6">
        <f>IF($J175="","",IF($J175&gt;$K175,"ARŞEN ONAYI GEREKLİ","Doğrudan geçer"))</f>
        <v/>
      </c>
      <c r="M175" s="6" t="n"/>
      <c r="N175" s="6" t="n"/>
      <c r="O175" s="11" t="n"/>
      <c r="P175" s="6" t="n"/>
      <c r="Q175" s="6" t="n"/>
    </row>
    <row r="176">
      <c r="A176" s="6" t="n"/>
      <c r="B176" s="6" t="n"/>
      <c r="C176" s="6" t="n"/>
      <c r="D176" s="6" t="n"/>
      <c r="E176" s="6" t="n"/>
      <c r="F176" s="11" t="n"/>
      <c r="G176" s="6" t="n"/>
      <c r="H176" s="6" t="n"/>
      <c r="I176" s="6" t="n"/>
      <c r="J176" s="6">
        <f>IF(OR($C176="",$I176&lt;&gt;"Evet"),"",SUMIFS($D$2:$D$300,$A$2:$A$300,$A176,$C$2:$C$300,$C176,$E$2:$E$300,$E176,$I$2:$I$300,"Evet"))</f>
        <v/>
      </c>
      <c r="K176" s="6">
        <f>IF($E176="","",VLOOKUP($E176,Listeler!$I$2:$J$4,2,0))</f>
        <v/>
      </c>
      <c r="L176" s="6">
        <f>IF($J176="","",IF($J176&gt;$K176,"ARŞEN ONAYI GEREKLİ","Doğrudan geçer"))</f>
        <v/>
      </c>
      <c r="M176" s="6" t="n"/>
      <c r="N176" s="6" t="n"/>
      <c r="O176" s="11" t="n"/>
      <c r="P176" s="6" t="n"/>
      <c r="Q176" s="6" t="n"/>
    </row>
    <row r="177">
      <c r="A177" s="6" t="n"/>
      <c r="B177" s="6" t="n"/>
      <c r="C177" s="6" t="n"/>
      <c r="D177" s="6" t="n"/>
      <c r="E177" s="6" t="n"/>
      <c r="F177" s="11" t="n"/>
      <c r="G177" s="6" t="n"/>
      <c r="H177" s="6" t="n"/>
      <c r="I177" s="6" t="n"/>
      <c r="J177" s="6">
        <f>IF(OR($C177="",$I177&lt;&gt;"Evet"),"",SUMIFS($D$2:$D$300,$A$2:$A$300,$A177,$C$2:$C$300,$C177,$E$2:$E$300,$E177,$I$2:$I$300,"Evet"))</f>
        <v/>
      </c>
      <c r="K177" s="6">
        <f>IF($E177="","",VLOOKUP($E177,Listeler!$I$2:$J$4,2,0))</f>
        <v/>
      </c>
      <c r="L177" s="6">
        <f>IF($J177="","",IF($J177&gt;$K177,"ARŞEN ONAYI GEREKLİ","Doğrudan geçer"))</f>
        <v/>
      </c>
      <c r="M177" s="6" t="n"/>
      <c r="N177" s="6" t="n"/>
      <c r="O177" s="11" t="n"/>
      <c r="P177" s="6" t="n"/>
      <c r="Q177" s="6" t="n"/>
    </row>
    <row r="178">
      <c r="A178" s="6" t="n"/>
      <c r="B178" s="6" t="n"/>
      <c r="C178" s="6" t="n"/>
      <c r="D178" s="6" t="n"/>
      <c r="E178" s="6" t="n"/>
      <c r="F178" s="11" t="n"/>
      <c r="G178" s="6" t="n"/>
      <c r="H178" s="6" t="n"/>
      <c r="I178" s="6" t="n"/>
      <c r="J178" s="6">
        <f>IF(OR($C178="",$I178&lt;&gt;"Evet"),"",SUMIFS($D$2:$D$300,$A$2:$A$300,$A178,$C$2:$C$300,$C178,$E$2:$E$300,$E178,$I$2:$I$300,"Evet"))</f>
        <v/>
      </c>
      <c r="K178" s="6">
        <f>IF($E178="","",VLOOKUP($E178,Listeler!$I$2:$J$4,2,0))</f>
        <v/>
      </c>
      <c r="L178" s="6">
        <f>IF($J178="","",IF($J178&gt;$K178,"ARŞEN ONAYI GEREKLİ","Doğrudan geçer"))</f>
        <v/>
      </c>
      <c r="M178" s="6" t="n"/>
      <c r="N178" s="6" t="n"/>
      <c r="O178" s="11" t="n"/>
      <c r="P178" s="6" t="n"/>
      <c r="Q178" s="6" t="n"/>
    </row>
    <row r="179">
      <c r="A179" s="6" t="n"/>
      <c r="B179" s="6" t="n"/>
      <c r="C179" s="6" t="n"/>
      <c r="D179" s="6" t="n"/>
      <c r="E179" s="6" t="n"/>
      <c r="F179" s="11" t="n"/>
      <c r="G179" s="6" t="n"/>
      <c r="H179" s="6" t="n"/>
      <c r="I179" s="6" t="n"/>
      <c r="J179" s="6">
        <f>IF(OR($C179="",$I179&lt;&gt;"Evet"),"",SUMIFS($D$2:$D$300,$A$2:$A$300,$A179,$C$2:$C$300,$C179,$E$2:$E$300,$E179,$I$2:$I$300,"Evet"))</f>
        <v/>
      </c>
      <c r="K179" s="6">
        <f>IF($E179="","",VLOOKUP($E179,Listeler!$I$2:$J$4,2,0))</f>
        <v/>
      </c>
      <c r="L179" s="6">
        <f>IF($J179="","",IF($J179&gt;$K179,"ARŞEN ONAYI GEREKLİ","Doğrudan geçer"))</f>
        <v/>
      </c>
      <c r="M179" s="6" t="n"/>
      <c r="N179" s="6" t="n"/>
      <c r="O179" s="11" t="n"/>
      <c r="P179" s="6" t="n"/>
      <c r="Q179" s="6" t="n"/>
    </row>
    <row r="180">
      <c r="A180" s="6" t="n"/>
      <c r="B180" s="6" t="n"/>
      <c r="C180" s="6" t="n"/>
      <c r="D180" s="6" t="n"/>
      <c r="E180" s="6" t="n"/>
      <c r="F180" s="11" t="n"/>
      <c r="G180" s="6" t="n"/>
      <c r="H180" s="6" t="n"/>
      <c r="I180" s="6" t="n"/>
      <c r="J180" s="6">
        <f>IF(OR($C180="",$I180&lt;&gt;"Evet"),"",SUMIFS($D$2:$D$300,$A$2:$A$300,$A180,$C$2:$C$300,$C180,$E$2:$E$300,$E180,$I$2:$I$300,"Evet"))</f>
        <v/>
      </c>
      <c r="K180" s="6">
        <f>IF($E180="","",VLOOKUP($E180,Listeler!$I$2:$J$4,2,0))</f>
        <v/>
      </c>
      <c r="L180" s="6">
        <f>IF($J180="","",IF($J180&gt;$K180,"ARŞEN ONAYI GEREKLİ","Doğrudan geçer"))</f>
        <v/>
      </c>
      <c r="M180" s="6" t="n"/>
      <c r="N180" s="6" t="n"/>
      <c r="O180" s="11" t="n"/>
      <c r="P180" s="6" t="n"/>
      <c r="Q180" s="6" t="n"/>
    </row>
    <row r="181">
      <c r="A181" s="6" t="n"/>
      <c r="B181" s="6" t="n"/>
      <c r="C181" s="6" t="n"/>
      <c r="D181" s="6" t="n"/>
      <c r="E181" s="6" t="n"/>
      <c r="F181" s="11" t="n"/>
      <c r="G181" s="6" t="n"/>
      <c r="H181" s="6" t="n"/>
      <c r="I181" s="6" t="n"/>
      <c r="J181" s="6">
        <f>IF(OR($C181="",$I181&lt;&gt;"Evet"),"",SUMIFS($D$2:$D$300,$A$2:$A$300,$A181,$C$2:$C$300,$C181,$E$2:$E$300,$E181,$I$2:$I$300,"Evet"))</f>
        <v/>
      </c>
      <c r="K181" s="6">
        <f>IF($E181="","",VLOOKUP($E181,Listeler!$I$2:$J$4,2,0))</f>
        <v/>
      </c>
      <c r="L181" s="6">
        <f>IF($J181="","",IF($J181&gt;$K181,"ARŞEN ONAYI GEREKLİ","Doğrudan geçer"))</f>
        <v/>
      </c>
      <c r="M181" s="6" t="n"/>
      <c r="N181" s="6" t="n"/>
      <c r="O181" s="11" t="n"/>
      <c r="P181" s="6" t="n"/>
      <c r="Q181" s="6" t="n"/>
    </row>
    <row r="182">
      <c r="A182" s="6" t="n"/>
      <c r="B182" s="6" t="n"/>
      <c r="C182" s="6" t="n"/>
      <c r="D182" s="6" t="n"/>
      <c r="E182" s="6" t="n"/>
      <c r="F182" s="11" t="n"/>
      <c r="G182" s="6" t="n"/>
      <c r="H182" s="6" t="n"/>
      <c r="I182" s="6" t="n"/>
      <c r="J182" s="6">
        <f>IF(OR($C182="",$I182&lt;&gt;"Evet"),"",SUMIFS($D$2:$D$300,$A$2:$A$300,$A182,$C$2:$C$300,$C182,$E$2:$E$300,$E182,$I$2:$I$300,"Evet"))</f>
        <v/>
      </c>
      <c r="K182" s="6">
        <f>IF($E182="","",VLOOKUP($E182,Listeler!$I$2:$J$4,2,0))</f>
        <v/>
      </c>
      <c r="L182" s="6">
        <f>IF($J182="","",IF($J182&gt;$K182,"ARŞEN ONAYI GEREKLİ","Doğrudan geçer"))</f>
        <v/>
      </c>
      <c r="M182" s="6" t="n"/>
      <c r="N182" s="6" t="n"/>
      <c r="O182" s="11" t="n"/>
      <c r="P182" s="6" t="n"/>
      <c r="Q182" s="6" t="n"/>
    </row>
    <row r="183">
      <c r="A183" s="6" t="n"/>
      <c r="B183" s="6" t="n"/>
      <c r="C183" s="6" t="n"/>
      <c r="D183" s="6" t="n"/>
      <c r="E183" s="6" t="n"/>
      <c r="F183" s="11" t="n"/>
      <c r="G183" s="6" t="n"/>
      <c r="H183" s="6" t="n"/>
      <c r="I183" s="6" t="n"/>
      <c r="J183" s="6">
        <f>IF(OR($C183="",$I183&lt;&gt;"Evet"),"",SUMIFS($D$2:$D$300,$A$2:$A$300,$A183,$C$2:$C$300,$C183,$E$2:$E$300,$E183,$I$2:$I$300,"Evet"))</f>
        <v/>
      </c>
      <c r="K183" s="6">
        <f>IF($E183="","",VLOOKUP($E183,Listeler!$I$2:$J$4,2,0))</f>
        <v/>
      </c>
      <c r="L183" s="6">
        <f>IF($J183="","",IF($J183&gt;$K183,"ARŞEN ONAYI GEREKLİ","Doğrudan geçer"))</f>
        <v/>
      </c>
      <c r="M183" s="6" t="n"/>
      <c r="N183" s="6" t="n"/>
      <c r="O183" s="11" t="n"/>
      <c r="P183" s="6" t="n"/>
      <c r="Q183" s="6" t="n"/>
    </row>
    <row r="184">
      <c r="A184" s="6" t="n"/>
      <c r="B184" s="6" t="n"/>
      <c r="C184" s="6" t="n"/>
      <c r="D184" s="6" t="n"/>
      <c r="E184" s="6" t="n"/>
      <c r="F184" s="11" t="n"/>
      <c r="G184" s="6" t="n"/>
      <c r="H184" s="6" t="n"/>
      <c r="I184" s="6" t="n"/>
      <c r="J184" s="6">
        <f>IF(OR($C184="",$I184&lt;&gt;"Evet"),"",SUMIFS($D$2:$D$300,$A$2:$A$300,$A184,$C$2:$C$300,$C184,$E$2:$E$300,$E184,$I$2:$I$300,"Evet"))</f>
        <v/>
      </c>
      <c r="K184" s="6">
        <f>IF($E184="","",VLOOKUP($E184,Listeler!$I$2:$J$4,2,0))</f>
        <v/>
      </c>
      <c r="L184" s="6">
        <f>IF($J184="","",IF($J184&gt;$K184,"ARŞEN ONAYI GEREKLİ","Doğrudan geçer"))</f>
        <v/>
      </c>
      <c r="M184" s="6" t="n"/>
      <c r="N184" s="6" t="n"/>
      <c r="O184" s="11" t="n"/>
      <c r="P184" s="6" t="n"/>
      <c r="Q184" s="6" t="n"/>
    </row>
    <row r="185">
      <c r="A185" s="6" t="n"/>
      <c r="B185" s="6" t="n"/>
      <c r="C185" s="6" t="n"/>
      <c r="D185" s="6" t="n"/>
      <c r="E185" s="6" t="n"/>
      <c r="F185" s="11" t="n"/>
      <c r="G185" s="6" t="n"/>
      <c r="H185" s="6" t="n"/>
      <c r="I185" s="6" t="n"/>
      <c r="J185" s="6">
        <f>IF(OR($C185="",$I185&lt;&gt;"Evet"),"",SUMIFS($D$2:$D$300,$A$2:$A$300,$A185,$C$2:$C$300,$C185,$E$2:$E$300,$E185,$I$2:$I$300,"Evet"))</f>
        <v/>
      </c>
      <c r="K185" s="6">
        <f>IF($E185="","",VLOOKUP($E185,Listeler!$I$2:$J$4,2,0))</f>
        <v/>
      </c>
      <c r="L185" s="6">
        <f>IF($J185="","",IF($J185&gt;$K185,"ARŞEN ONAYI GEREKLİ","Doğrudan geçer"))</f>
        <v/>
      </c>
      <c r="M185" s="6" t="n"/>
      <c r="N185" s="6" t="n"/>
      <c r="O185" s="11" t="n"/>
      <c r="P185" s="6" t="n"/>
      <c r="Q185" s="6" t="n"/>
    </row>
    <row r="186">
      <c r="A186" s="6" t="n"/>
      <c r="B186" s="6" t="n"/>
      <c r="C186" s="6" t="n"/>
      <c r="D186" s="6" t="n"/>
      <c r="E186" s="6" t="n"/>
      <c r="F186" s="11" t="n"/>
      <c r="G186" s="6" t="n"/>
      <c r="H186" s="6" t="n"/>
      <c r="I186" s="6" t="n"/>
      <c r="J186" s="6">
        <f>IF(OR($C186="",$I186&lt;&gt;"Evet"),"",SUMIFS($D$2:$D$300,$A$2:$A$300,$A186,$C$2:$C$300,$C186,$E$2:$E$300,$E186,$I$2:$I$300,"Evet"))</f>
        <v/>
      </c>
      <c r="K186" s="6">
        <f>IF($E186="","",VLOOKUP($E186,Listeler!$I$2:$J$4,2,0))</f>
        <v/>
      </c>
      <c r="L186" s="6">
        <f>IF($J186="","",IF($J186&gt;$K186,"ARŞEN ONAYI GEREKLİ","Doğrudan geçer"))</f>
        <v/>
      </c>
      <c r="M186" s="6" t="n"/>
      <c r="N186" s="6" t="n"/>
      <c r="O186" s="11" t="n"/>
      <c r="P186" s="6" t="n"/>
      <c r="Q186" s="6" t="n"/>
    </row>
    <row r="187">
      <c r="A187" s="6" t="n"/>
      <c r="B187" s="6" t="n"/>
      <c r="C187" s="6" t="n"/>
      <c r="D187" s="6" t="n"/>
      <c r="E187" s="6" t="n"/>
      <c r="F187" s="11" t="n"/>
      <c r="G187" s="6" t="n"/>
      <c r="H187" s="6" t="n"/>
      <c r="I187" s="6" t="n"/>
      <c r="J187" s="6">
        <f>IF(OR($C187="",$I187&lt;&gt;"Evet"),"",SUMIFS($D$2:$D$300,$A$2:$A$300,$A187,$C$2:$C$300,$C187,$E$2:$E$300,$E187,$I$2:$I$300,"Evet"))</f>
        <v/>
      </c>
      <c r="K187" s="6">
        <f>IF($E187="","",VLOOKUP($E187,Listeler!$I$2:$J$4,2,0))</f>
        <v/>
      </c>
      <c r="L187" s="6">
        <f>IF($J187="","",IF($J187&gt;$K187,"ARŞEN ONAYI GEREKLİ","Doğrudan geçer"))</f>
        <v/>
      </c>
      <c r="M187" s="6" t="n"/>
      <c r="N187" s="6" t="n"/>
      <c r="O187" s="11" t="n"/>
      <c r="P187" s="6" t="n"/>
      <c r="Q187" s="6" t="n"/>
    </row>
    <row r="188">
      <c r="A188" s="6" t="n"/>
      <c r="B188" s="6" t="n"/>
      <c r="C188" s="6" t="n"/>
      <c r="D188" s="6" t="n"/>
      <c r="E188" s="6" t="n"/>
      <c r="F188" s="11" t="n"/>
      <c r="G188" s="6" t="n"/>
      <c r="H188" s="6" t="n"/>
      <c r="I188" s="6" t="n"/>
      <c r="J188" s="6">
        <f>IF(OR($C188="",$I188&lt;&gt;"Evet"),"",SUMIFS($D$2:$D$300,$A$2:$A$300,$A188,$C$2:$C$300,$C188,$E$2:$E$300,$E188,$I$2:$I$300,"Evet"))</f>
        <v/>
      </c>
      <c r="K188" s="6">
        <f>IF($E188="","",VLOOKUP($E188,Listeler!$I$2:$J$4,2,0))</f>
        <v/>
      </c>
      <c r="L188" s="6">
        <f>IF($J188="","",IF($J188&gt;$K188,"ARŞEN ONAYI GEREKLİ","Doğrudan geçer"))</f>
        <v/>
      </c>
      <c r="M188" s="6" t="n"/>
      <c r="N188" s="6" t="n"/>
      <c r="O188" s="11" t="n"/>
      <c r="P188" s="6" t="n"/>
      <c r="Q188" s="6" t="n"/>
    </row>
    <row r="189">
      <c r="A189" s="6" t="n"/>
      <c r="B189" s="6" t="n"/>
      <c r="C189" s="6" t="n"/>
      <c r="D189" s="6" t="n"/>
      <c r="E189" s="6" t="n"/>
      <c r="F189" s="11" t="n"/>
      <c r="G189" s="6" t="n"/>
      <c r="H189" s="6" t="n"/>
      <c r="I189" s="6" t="n"/>
      <c r="J189" s="6">
        <f>IF(OR($C189="",$I189&lt;&gt;"Evet"),"",SUMIFS($D$2:$D$300,$A$2:$A$300,$A189,$C$2:$C$300,$C189,$E$2:$E$300,$E189,$I$2:$I$300,"Evet"))</f>
        <v/>
      </c>
      <c r="K189" s="6">
        <f>IF($E189="","",VLOOKUP($E189,Listeler!$I$2:$J$4,2,0))</f>
        <v/>
      </c>
      <c r="L189" s="6">
        <f>IF($J189="","",IF($J189&gt;$K189,"ARŞEN ONAYI GEREKLİ","Doğrudan geçer"))</f>
        <v/>
      </c>
      <c r="M189" s="6" t="n"/>
      <c r="N189" s="6" t="n"/>
      <c r="O189" s="11" t="n"/>
      <c r="P189" s="6" t="n"/>
      <c r="Q189" s="6" t="n"/>
    </row>
    <row r="190">
      <c r="A190" s="6" t="n"/>
      <c r="B190" s="6" t="n"/>
      <c r="C190" s="6" t="n"/>
      <c r="D190" s="6" t="n"/>
      <c r="E190" s="6" t="n"/>
      <c r="F190" s="11" t="n"/>
      <c r="G190" s="6" t="n"/>
      <c r="H190" s="6" t="n"/>
      <c r="I190" s="6" t="n"/>
      <c r="J190" s="6">
        <f>IF(OR($C190="",$I190&lt;&gt;"Evet"),"",SUMIFS($D$2:$D$300,$A$2:$A$300,$A190,$C$2:$C$300,$C190,$E$2:$E$300,$E190,$I$2:$I$300,"Evet"))</f>
        <v/>
      </c>
      <c r="K190" s="6">
        <f>IF($E190="","",VLOOKUP($E190,Listeler!$I$2:$J$4,2,0))</f>
        <v/>
      </c>
      <c r="L190" s="6">
        <f>IF($J190="","",IF($J190&gt;$K190,"ARŞEN ONAYI GEREKLİ","Doğrudan geçer"))</f>
        <v/>
      </c>
      <c r="M190" s="6" t="n"/>
      <c r="N190" s="6" t="n"/>
      <c r="O190" s="11" t="n"/>
      <c r="P190" s="6" t="n"/>
      <c r="Q190" s="6" t="n"/>
    </row>
    <row r="191">
      <c r="A191" s="6" t="n"/>
      <c r="B191" s="6" t="n"/>
      <c r="C191" s="6" t="n"/>
      <c r="D191" s="6" t="n"/>
      <c r="E191" s="6" t="n"/>
      <c r="F191" s="11" t="n"/>
      <c r="G191" s="6" t="n"/>
      <c r="H191" s="6" t="n"/>
      <c r="I191" s="6" t="n"/>
      <c r="J191" s="6">
        <f>IF(OR($C191="",$I191&lt;&gt;"Evet"),"",SUMIFS($D$2:$D$300,$A$2:$A$300,$A191,$C$2:$C$300,$C191,$E$2:$E$300,$E191,$I$2:$I$300,"Evet"))</f>
        <v/>
      </c>
      <c r="K191" s="6">
        <f>IF($E191="","",VLOOKUP($E191,Listeler!$I$2:$J$4,2,0))</f>
        <v/>
      </c>
      <c r="L191" s="6">
        <f>IF($J191="","",IF($J191&gt;$K191,"ARŞEN ONAYI GEREKLİ","Doğrudan geçer"))</f>
        <v/>
      </c>
      <c r="M191" s="6" t="n"/>
      <c r="N191" s="6" t="n"/>
      <c r="O191" s="11" t="n"/>
      <c r="P191" s="6" t="n"/>
      <c r="Q191" s="6" t="n"/>
    </row>
    <row r="192">
      <c r="A192" s="6" t="n"/>
      <c r="B192" s="6" t="n"/>
      <c r="C192" s="6" t="n"/>
      <c r="D192" s="6" t="n"/>
      <c r="E192" s="6" t="n"/>
      <c r="F192" s="11" t="n"/>
      <c r="G192" s="6" t="n"/>
      <c r="H192" s="6" t="n"/>
      <c r="I192" s="6" t="n"/>
      <c r="J192" s="6">
        <f>IF(OR($C192="",$I192&lt;&gt;"Evet"),"",SUMIFS($D$2:$D$300,$A$2:$A$300,$A192,$C$2:$C$300,$C192,$E$2:$E$300,$E192,$I$2:$I$300,"Evet"))</f>
        <v/>
      </c>
      <c r="K192" s="6">
        <f>IF($E192="","",VLOOKUP($E192,Listeler!$I$2:$J$4,2,0))</f>
        <v/>
      </c>
      <c r="L192" s="6">
        <f>IF($J192="","",IF($J192&gt;$K192,"ARŞEN ONAYI GEREKLİ","Doğrudan geçer"))</f>
        <v/>
      </c>
      <c r="M192" s="6" t="n"/>
      <c r="N192" s="6" t="n"/>
      <c r="O192" s="11" t="n"/>
      <c r="P192" s="6" t="n"/>
      <c r="Q192" s="6" t="n"/>
    </row>
    <row r="193">
      <c r="A193" s="6" t="n"/>
      <c r="B193" s="6" t="n"/>
      <c r="C193" s="6" t="n"/>
      <c r="D193" s="6" t="n"/>
      <c r="E193" s="6" t="n"/>
      <c r="F193" s="11" t="n"/>
      <c r="G193" s="6" t="n"/>
      <c r="H193" s="6" t="n"/>
      <c r="I193" s="6" t="n"/>
      <c r="J193" s="6">
        <f>IF(OR($C193="",$I193&lt;&gt;"Evet"),"",SUMIFS($D$2:$D$300,$A$2:$A$300,$A193,$C$2:$C$300,$C193,$E$2:$E$300,$E193,$I$2:$I$300,"Evet"))</f>
        <v/>
      </c>
      <c r="K193" s="6">
        <f>IF($E193="","",VLOOKUP($E193,Listeler!$I$2:$J$4,2,0))</f>
        <v/>
      </c>
      <c r="L193" s="6">
        <f>IF($J193="","",IF($J193&gt;$K193,"ARŞEN ONAYI GEREKLİ","Doğrudan geçer"))</f>
        <v/>
      </c>
      <c r="M193" s="6" t="n"/>
      <c r="N193" s="6" t="n"/>
      <c r="O193" s="11" t="n"/>
      <c r="P193" s="6" t="n"/>
      <c r="Q193" s="6" t="n"/>
    </row>
    <row r="194">
      <c r="A194" s="6" t="n"/>
      <c r="B194" s="6" t="n"/>
      <c r="C194" s="6" t="n"/>
      <c r="D194" s="6" t="n"/>
      <c r="E194" s="6" t="n"/>
      <c r="F194" s="11" t="n"/>
      <c r="G194" s="6" t="n"/>
      <c r="H194" s="6" t="n"/>
      <c r="I194" s="6" t="n"/>
      <c r="J194" s="6">
        <f>IF(OR($C194="",$I194&lt;&gt;"Evet"),"",SUMIFS($D$2:$D$300,$A$2:$A$300,$A194,$C$2:$C$300,$C194,$E$2:$E$300,$E194,$I$2:$I$300,"Evet"))</f>
        <v/>
      </c>
      <c r="K194" s="6">
        <f>IF($E194="","",VLOOKUP($E194,Listeler!$I$2:$J$4,2,0))</f>
        <v/>
      </c>
      <c r="L194" s="6">
        <f>IF($J194="","",IF($J194&gt;$K194,"ARŞEN ONAYI GEREKLİ","Doğrudan geçer"))</f>
        <v/>
      </c>
      <c r="M194" s="6" t="n"/>
      <c r="N194" s="6" t="n"/>
      <c r="O194" s="11" t="n"/>
      <c r="P194" s="6" t="n"/>
      <c r="Q194" s="6" t="n"/>
    </row>
    <row r="195">
      <c r="A195" s="6" t="n"/>
      <c r="B195" s="6" t="n"/>
      <c r="C195" s="6" t="n"/>
      <c r="D195" s="6" t="n"/>
      <c r="E195" s="6" t="n"/>
      <c r="F195" s="11" t="n"/>
      <c r="G195" s="6" t="n"/>
      <c r="H195" s="6" t="n"/>
      <c r="I195" s="6" t="n"/>
      <c r="J195" s="6">
        <f>IF(OR($C195="",$I195&lt;&gt;"Evet"),"",SUMIFS($D$2:$D$300,$A$2:$A$300,$A195,$C$2:$C$300,$C195,$E$2:$E$300,$E195,$I$2:$I$300,"Evet"))</f>
        <v/>
      </c>
      <c r="K195" s="6">
        <f>IF($E195="","",VLOOKUP($E195,Listeler!$I$2:$J$4,2,0))</f>
        <v/>
      </c>
      <c r="L195" s="6">
        <f>IF($J195="","",IF($J195&gt;$K195,"ARŞEN ONAYI GEREKLİ","Doğrudan geçer"))</f>
        <v/>
      </c>
      <c r="M195" s="6" t="n"/>
      <c r="N195" s="6" t="n"/>
      <c r="O195" s="11" t="n"/>
      <c r="P195" s="6" t="n"/>
      <c r="Q195" s="6" t="n"/>
    </row>
    <row r="196">
      <c r="A196" s="6" t="n"/>
      <c r="B196" s="6" t="n"/>
      <c r="C196" s="6" t="n"/>
      <c r="D196" s="6" t="n"/>
      <c r="E196" s="6" t="n"/>
      <c r="F196" s="11" t="n"/>
      <c r="G196" s="6" t="n"/>
      <c r="H196" s="6" t="n"/>
      <c r="I196" s="6" t="n"/>
      <c r="J196" s="6">
        <f>IF(OR($C196="",$I196&lt;&gt;"Evet"),"",SUMIFS($D$2:$D$300,$A$2:$A$300,$A196,$C$2:$C$300,$C196,$E$2:$E$300,$E196,$I$2:$I$300,"Evet"))</f>
        <v/>
      </c>
      <c r="K196" s="6">
        <f>IF($E196="","",VLOOKUP($E196,Listeler!$I$2:$J$4,2,0))</f>
        <v/>
      </c>
      <c r="L196" s="6">
        <f>IF($J196="","",IF($J196&gt;$K196,"ARŞEN ONAYI GEREKLİ","Doğrudan geçer"))</f>
        <v/>
      </c>
      <c r="M196" s="6" t="n"/>
      <c r="N196" s="6" t="n"/>
      <c r="O196" s="11" t="n"/>
      <c r="P196" s="6" t="n"/>
      <c r="Q196" s="6" t="n"/>
    </row>
    <row r="197">
      <c r="A197" s="6" t="n"/>
      <c r="B197" s="6" t="n"/>
      <c r="C197" s="6" t="n"/>
      <c r="D197" s="6" t="n"/>
      <c r="E197" s="6" t="n"/>
      <c r="F197" s="11" t="n"/>
      <c r="G197" s="6" t="n"/>
      <c r="H197" s="6" t="n"/>
      <c r="I197" s="6" t="n"/>
      <c r="J197" s="6">
        <f>IF(OR($C197="",$I197&lt;&gt;"Evet"),"",SUMIFS($D$2:$D$300,$A$2:$A$300,$A197,$C$2:$C$300,$C197,$E$2:$E$300,$E197,$I$2:$I$300,"Evet"))</f>
        <v/>
      </c>
      <c r="K197" s="6">
        <f>IF($E197="","",VLOOKUP($E197,Listeler!$I$2:$J$4,2,0))</f>
        <v/>
      </c>
      <c r="L197" s="6">
        <f>IF($J197="","",IF($J197&gt;$K197,"ARŞEN ONAYI GEREKLİ","Doğrudan geçer"))</f>
        <v/>
      </c>
      <c r="M197" s="6" t="n"/>
      <c r="N197" s="6" t="n"/>
      <c r="O197" s="11" t="n"/>
      <c r="P197" s="6" t="n"/>
      <c r="Q197" s="6" t="n"/>
    </row>
    <row r="198">
      <c r="A198" s="6" t="n"/>
      <c r="B198" s="6" t="n"/>
      <c r="C198" s="6" t="n"/>
      <c r="D198" s="6" t="n"/>
      <c r="E198" s="6" t="n"/>
      <c r="F198" s="11" t="n"/>
      <c r="G198" s="6" t="n"/>
      <c r="H198" s="6" t="n"/>
      <c r="I198" s="6" t="n"/>
      <c r="J198" s="6">
        <f>IF(OR($C198="",$I198&lt;&gt;"Evet"),"",SUMIFS($D$2:$D$300,$A$2:$A$300,$A198,$C$2:$C$300,$C198,$E$2:$E$300,$E198,$I$2:$I$300,"Evet"))</f>
        <v/>
      </c>
      <c r="K198" s="6">
        <f>IF($E198="","",VLOOKUP($E198,Listeler!$I$2:$J$4,2,0))</f>
        <v/>
      </c>
      <c r="L198" s="6">
        <f>IF($J198="","",IF($J198&gt;$K198,"ARŞEN ONAYI GEREKLİ","Doğrudan geçer"))</f>
        <v/>
      </c>
      <c r="M198" s="6" t="n"/>
      <c r="N198" s="6" t="n"/>
      <c r="O198" s="11" t="n"/>
      <c r="P198" s="6" t="n"/>
      <c r="Q198" s="6" t="n"/>
    </row>
    <row r="199">
      <c r="A199" s="6" t="n"/>
      <c r="B199" s="6" t="n"/>
      <c r="C199" s="6" t="n"/>
      <c r="D199" s="6" t="n"/>
      <c r="E199" s="6" t="n"/>
      <c r="F199" s="11" t="n"/>
      <c r="G199" s="6" t="n"/>
      <c r="H199" s="6" t="n"/>
      <c r="I199" s="6" t="n"/>
      <c r="J199" s="6">
        <f>IF(OR($C199="",$I199&lt;&gt;"Evet"),"",SUMIFS($D$2:$D$300,$A$2:$A$300,$A199,$C$2:$C$300,$C199,$E$2:$E$300,$E199,$I$2:$I$300,"Evet"))</f>
        <v/>
      </c>
      <c r="K199" s="6">
        <f>IF($E199="","",VLOOKUP($E199,Listeler!$I$2:$J$4,2,0))</f>
        <v/>
      </c>
      <c r="L199" s="6">
        <f>IF($J199="","",IF($J199&gt;$K199,"ARŞEN ONAYI GEREKLİ","Doğrudan geçer"))</f>
        <v/>
      </c>
      <c r="M199" s="6" t="n"/>
      <c r="N199" s="6" t="n"/>
      <c r="O199" s="11" t="n"/>
      <c r="P199" s="6" t="n"/>
      <c r="Q199" s="6" t="n"/>
    </row>
    <row r="200">
      <c r="A200" s="6" t="n"/>
      <c r="B200" s="6" t="n"/>
      <c r="C200" s="6" t="n"/>
      <c r="D200" s="6" t="n"/>
      <c r="E200" s="6" t="n"/>
      <c r="F200" s="11" t="n"/>
      <c r="G200" s="6" t="n"/>
      <c r="H200" s="6" t="n"/>
      <c r="I200" s="6" t="n"/>
      <c r="J200" s="6">
        <f>IF(OR($C200="",$I200&lt;&gt;"Evet"),"",SUMIFS($D$2:$D$300,$A$2:$A$300,$A200,$C$2:$C$300,$C200,$E$2:$E$300,$E200,$I$2:$I$300,"Evet"))</f>
        <v/>
      </c>
      <c r="K200" s="6">
        <f>IF($E200="","",VLOOKUP($E200,Listeler!$I$2:$J$4,2,0))</f>
        <v/>
      </c>
      <c r="L200" s="6">
        <f>IF($J200="","",IF($J200&gt;$K200,"ARŞEN ONAYI GEREKLİ","Doğrudan geçer"))</f>
        <v/>
      </c>
      <c r="M200" s="6" t="n"/>
      <c r="N200" s="6" t="n"/>
      <c r="O200" s="11" t="n"/>
      <c r="P200" s="6" t="n"/>
      <c r="Q200" s="6" t="n"/>
    </row>
    <row r="201">
      <c r="A201" s="6" t="n"/>
      <c r="B201" s="6" t="n"/>
      <c r="C201" s="6" t="n"/>
      <c r="D201" s="6" t="n"/>
      <c r="E201" s="6" t="n"/>
      <c r="F201" s="11" t="n"/>
      <c r="G201" s="6" t="n"/>
      <c r="H201" s="6" t="n"/>
      <c r="I201" s="6" t="n"/>
      <c r="J201" s="6">
        <f>IF(OR($C201="",$I201&lt;&gt;"Evet"),"",SUMIFS($D$2:$D$300,$A$2:$A$300,$A201,$C$2:$C$300,$C201,$E$2:$E$300,$E201,$I$2:$I$300,"Evet"))</f>
        <v/>
      </c>
      <c r="K201" s="6">
        <f>IF($E201="","",VLOOKUP($E201,Listeler!$I$2:$J$4,2,0))</f>
        <v/>
      </c>
      <c r="L201" s="6">
        <f>IF($J201="","",IF($J201&gt;$K201,"ARŞEN ONAYI GEREKLİ","Doğrudan geçer"))</f>
        <v/>
      </c>
      <c r="M201" s="6" t="n"/>
      <c r="N201" s="6" t="n"/>
      <c r="O201" s="11" t="n"/>
      <c r="P201" s="6" t="n"/>
      <c r="Q201" s="6" t="n"/>
    </row>
    <row r="202">
      <c r="A202" s="6" t="n"/>
      <c r="B202" s="6" t="n"/>
      <c r="C202" s="6" t="n"/>
      <c r="D202" s="6" t="n"/>
      <c r="E202" s="6" t="n"/>
      <c r="F202" s="11" t="n"/>
      <c r="G202" s="6" t="n"/>
      <c r="H202" s="6" t="n"/>
      <c r="I202" s="6" t="n"/>
      <c r="J202" s="6">
        <f>IF(OR($C202="",$I202&lt;&gt;"Evet"),"",SUMIFS($D$2:$D$300,$A$2:$A$300,$A202,$C$2:$C$300,$C202,$E$2:$E$300,$E202,$I$2:$I$300,"Evet"))</f>
        <v/>
      </c>
      <c r="K202" s="6">
        <f>IF($E202="","",VLOOKUP($E202,Listeler!$I$2:$J$4,2,0))</f>
        <v/>
      </c>
      <c r="L202" s="6">
        <f>IF($J202="","",IF($J202&gt;$K202,"ARŞEN ONAYI GEREKLİ","Doğrudan geçer"))</f>
        <v/>
      </c>
      <c r="M202" s="6" t="n"/>
      <c r="N202" s="6" t="n"/>
      <c r="O202" s="11" t="n"/>
      <c r="P202" s="6" t="n"/>
      <c r="Q202" s="6" t="n"/>
    </row>
    <row r="203">
      <c r="A203" s="6" t="n"/>
      <c r="B203" s="6" t="n"/>
      <c r="C203" s="6" t="n"/>
      <c r="D203" s="6" t="n"/>
      <c r="E203" s="6" t="n"/>
      <c r="F203" s="11" t="n"/>
      <c r="G203" s="6" t="n"/>
      <c r="H203" s="6" t="n"/>
      <c r="I203" s="6" t="n"/>
      <c r="J203" s="6">
        <f>IF(OR($C203="",$I203&lt;&gt;"Evet"),"",SUMIFS($D$2:$D$300,$A$2:$A$300,$A203,$C$2:$C$300,$C203,$E$2:$E$300,$E203,$I$2:$I$300,"Evet"))</f>
        <v/>
      </c>
      <c r="K203" s="6">
        <f>IF($E203="","",VLOOKUP($E203,Listeler!$I$2:$J$4,2,0))</f>
        <v/>
      </c>
      <c r="L203" s="6">
        <f>IF($J203="","",IF($J203&gt;$K203,"ARŞEN ONAYI GEREKLİ","Doğrudan geçer"))</f>
        <v/>
      </c>
      <c r="M203" s="6" t="n"/>
      <c r="N203" s="6" t="n"/>
      <c r="O203" s="11" t="n"/>
      <c r="P203" s="6" t="n"/>
      <c r="Q203" s="6" t="n"/>
    </row>
    <row r="204">
      <c r="A204" s="6" t="n"/>
      <c r="B204" s="6" t="n"/>
      <c r="C204" s="6" t="n"/>
      <c r="D204" s="6" t="n"/>
      <c r="E204" s="6" t="n"/>
      <c r="F204" s="11" t="n"/>
      <c r="G204" s="6" t="n"/>
      <c r="H204" s="6" t="n"/>
      <c r="I204" s="6" t="n"/>
      <c r="J204" s="6">
        <f>IF(OR($C204="",$I204&lt;&gt;"Evet"),"",SUMIFS($D$2:$D$300,$A$2:$A$300,$A204,$C$2:$C$300,$C204,$E$2:$E$300,$E204,$I$2:$I$300,"Evet"))</f>
        <v/>
      </c>
      <c r="K204" s="6">
        <f>IF($E204="","",VLOOKUP($E204,Listeler!$I$2:$J$4,2,0))</f>
        <v/>
      </c>
      <c r="L204" s="6">
        <f>IF($J204="","",IF($J204&gt;$K204,"ARŞEN ONAYI GEREKLİ","Doğrudan geçer"))</f>
        <v/>
      </c>
      <c r="M204" s="6" t="n"/>
      <c r="N204" s="6" t="n"/>
      <c r="O204" s="11" t="n"/>
      <c r="P204" s="6" t="n"/>
      <c r="Q204" s="6" t="n"/>
    </row>
    <row r="205">
      <c r="A205" s="6" t="n"/>
      <c r="B205" s="6" t="n"/>
      <c r="C205" s="6" t="n"/>
      <c r="D205" s="6" t="n"/>
      <c r="E205" s="6" t="n"/>
      <c r="F205" s="11" t="n"/>
      <c r="G205" s="6" t="n"/>
      <c r="H205" s="6" t="n"/>
      <c r="I205" s="6" t="n"/>
      <c r="J205" s="6">
        <f>IF(OR($C205="",$I205&lt;&gt;"Evet"),"",SUMIFS($D$2:$D$300,$A$2:$A$300,$A205,$C$2:$C$300,$C205,$E$2:$E$300,$E205,$I$2:$I$300,"Evet"))</f>
        <v/>
      </c>
      <c r="K205" s="6">
        <f>IF($E205="","",VLOOKUP($E205,Listeler!$I$2:$J$4,2,0))</f>
        <v/>
      </c>
      <c r="L205" s="6">
        <f>IF($J205="","",IF($J205&gt;$K205,"ARŞEN ONAYI GEREKLİ","Doğrudan geçer"))</f>
        <v/>
      </c>
      <c r="M205" s="6" t="n"/>
      <c r="N205" s="6" t="n"/>
      <c r="O205" s="11" t="n"/>
      <c r="P205" s="6" t="n"/>
      <c r="Q205" s="6" t="n"/>
    </row>
    <row r="206">
      <c r="A206" s="6" t="n"/>
      <c r="B206" s="6" t="n"/>
      <c r="C206" s="6" t="n"/>
      <c r="D206" s="6" t="n"/>
      <c r="E206" s="6" t="n"/>
      <c r="F206" s="11" t="n"/>
      <c r="G206" s="6" t="n"/>
      <c r="H206" s="6" t="n"/>
      <c r="I206" s="6" t="n"/>
      <c r="J206" s="6">
        <f>IF(OR($C206="",$I206&lt;&gt;"Evet"),"",SUMIFS($D$2:$D$300,$A$2:$A$300,$A206,$C$2:$C$300,$C206,$E$2:$E$300,$E206,$I$2:$I$300,"Evet"))</f>
        <v/>
      </c>
      <c r="K206" s="6">
        <f>IF($E206="","",VLOOKUP($E206,Listeler!$I$2:$J$4,2,0))</f>
        <v/>
      </c>
      <c r="L206" s="6">
        <f>IF($J206="","",IF($J206&gt;$K206,"ARŞEN ONAYI GEREKLİ","Doğrudan geçer"))</f>
        <v/>
      </c>
      <c r="M206" s="6" t="n"/>
      <c r="N206" s="6" t="n"/>
      <c r="O206" s="11" t="n"/>
      <c r="P206" s="6" t="n"/>
      <c r="Q206" s="6" t="n"/>
    </row>
    <row r="207">
      <c r="A207" s="6" t="n"/>
      <c r="B207" s="6" t="n"/>
      <c r="C207" s="6" t="n"/>
      <c r="D207" s="6" t="n"/>
      <c r="E207" s="6" t="n"/>
      <c r="F207" s="11" t="n"/>
      <c r="G207" s="6" t="n"/>
      <c r="H207" s="6" t="n"/>
      <c r="I207" s="6" t="n"/>
      <c r="J207" s="6">
        <f>IF(OR($C207="",$I207&lt;&gt;"Evet"),"",SUMIFS($D$2:$D$300,$A$2:$A$300,$A207,$C$2:$C$300,$C207,$E$2:$E$300,$E207,$I$2:$I$300,"Evet"))</f>
        <v/>
      </c>
      <c r="K207" s="6">
        <f>IF($E207="","",VLOOKUP($E207,Listeler!$I$2:$J$4,2,0))</f>
        <v/>
      </c>
      <c r="L207" s="6">
        <f>IF($J207="","",IF($J207&gt;$K207,"ARŞEN ONAYI GEREKLİ","Doğrudan geçer"))</f>
        <v/>
      </c>
      <c r="M207" s="6" t="n"/>
      <c r="N207" s="6" t="n"/>
      <c r="O207" s="11" t="n"/>
      <c r="P207" s="6" t="n"/>
      <c r="Q207" s="6" t="n"/>
    </row>
    <row r="208">
      <c r="A208" s="6" t="n"/>
      <c r="B208" s="6" t="n"/>
      <c r="C208" s="6" t="n"/>
      <c r="D208" s="6" t="n"/>
      <c r="E208" s="6" t="n"/>
      <c r="F208" s="11" t="n"/>
      <c r="G208" s="6" t="n"/>
      <c r="H208" s="6" t="n"/>
      <c r="I208" s="6" t="n"/>
      <c r="J208" s="6">
        <f>IF(OR($C208="",$I208&lt;&gt;"Evet"),"",SUMIFS($D$2:$D$300,$A$2:$A$300,$A208,$C$2:$C$300,$C208,$E$2:$E$300,$E208,$I$2:$I$300,"Evet"))</f>
        <v/>
      </c>
      <c r="K208" s="6">
        <f>IF($E208="","",VLOOKUP($E208,Listeler!$I$2:$J$4,2,0))</f>
        <v/>
      </c>
      <c r="L208" s="6">
        <f>IF($J208="","",IF($J208&gt;$K208,"ARŞEN ONAYI GEREKLİ","Doğrudan geçer"))</f>
        <v/>
      </c>
      <c r="M208" s="6" t="n"/>
      <c r="N208" s="6" t="n"/>
      <c r="O208" s="11" t="n"/>
      <c r="P208" s="6" t="n"/>
      <c r="Q208" s="6" t="n"/>
    </row>
    <row r="209">
      <c r="A209" s="6" t="n"/>
      <c r="B209" s="6" t="n"/>
      <c r="C209" s="6" t="n"/>
      <c r="D209" s="6" t="n"/>
      <c r="E209" s="6" t="n"/>
      <c r="F209" s="11" t="n"/>
      <c r="G209" s="6" t="n"/>
      <c r="H209" s="6" t="n"/>
      <c r="I209" s="6" t="n"/>
      <c r="J209" s="6">
        <f>IF(OR($C209="",$I209&lt;&gt;"Evet"),"",SUMIFS($D$2:$D$300,$A$2:$A$300,$A209,$C$2:$C$300,$C209,$E$2:$E$300,$E209,$I$2:$I$300,"Evet"))</f>
        <v/>
      </c>
      <c r="K209" s="6">
        <f>IF($E209="","",VLOOKUP($E209,Listeler!$I$2:$J$4,2,0))</f>
        <v/>
      </c>
      <c r="L209" s="6">
        <f>IF($J209="","",IF($J209&gt;$K209,"ARŞEN ONAYI GEREKLİ","Doğrudan geçer"))</f>
        <v/>
      </c>
      <c r="M209" s="6" t="n"/>
      <c r="N209" s="6" t="n"/>
      <c r="O209" s="11" t="n"/>
      <c r="P209" s="6" t="n"/>
      <c r="Q209" s="6" t="n"/>
    </row>
    <row r="210">
      <c r="A210" s="6" t="n"/>
      <c r="B210" s="6" t="n"/>
      <c r="C210" s="6" t="n"/>
      <c r="D210" s="6" t="n"/>
      <c r="E210" s="6" t="n"/>
      <c r="F210" s="11" t="n"/>
      <c r="G210" s="6" t="n"/>
      <c r="H210" s="6" t="n"/>
      <c r="I210" s="6" t="n"/>
      <c r="J210" s="6">
        <f>IF(OR($C210="",$I210&lt;&gt;"Evet"),"",SUMIFS($D$2:$D$300,$A$2:$A$300,$A210,$C$2:$C$300,$C210,$E$2:$E$300,$E210,$I$2:$I$300,"Evet"))</f>
        <v/>
      </c>
      <c r="K210" s="6">
        <f>IF($E210="","",VLOOKUP($E210,Listeler!$I$2:$J$4,2,0))</f>
        <v/>
      </c>
      <c r="L210" s="6">
        <f>IF($J210="","",IF($J210&gt;$K210,"ARŞEN ONAYI GEREKLİ","Doğrudan geçer"))</f>
        <v/>
      </c>
      <c r="M210" s="6" t="n"/>
      <c r="N210" s="6" t="n"/>
      <c r="O210" s="11" t="n"/>
      <c r="P210" s="6" t="n"/>
      <c r="Q210" s="6" t="n"/>
    </row>
    <row r="211">
      <c r="A211" s="6" t="n"/>
      <c r="B211" s="6" t="n"/>
      <c r="C211" s="6" t="n"/>
      <c r="D211" s="6" t="n"/>
      <c r="E211" s="6" t="n"/>
      <c r="F211" s="11" t="n"/>
      <c r="G211" s="6" t="n"/>
      <c r="H211" s="6" t="n"/>
      <c r="I211" s="6" t="n"/>
      <c r="J211" s="6">
        <f>IF(OR($C211="",$I211&lt;&gt;"Evet"),"",SUMIFS($D$2:$D$300,$A$2:$A$300,$A211,$C$2:$C$300,$C211,$E$2:$E$300,$E211,$I$2:$I$300,"Evet"))</f>
        <v/>
      </c>
      <c r="K211" s="6">
        <f>IF($E211="","",VLOOKUP($E211,Listeler!$I$2:$J$4,2,0))</f>
        <v/>
      </c>
      <c r="L211" s="6">
        <f>IF($J211="","",IF($J211&gt;$K211,"ARŞEN ONAYI GEREKLİ","Doğrudan geçer"))</f>
        <v/>
      </c>
      <c r="M211" s="6" t="n"/>
      <c r="N211" s="6" t="n"/>
      <c r="O211" s="11" t="n"/>
      <c r="P211" s="6" t="n"/>
      <c r="Q211" s="6" t="n"/>
    </row>
    <row r="212">
      <c r="A212" s="6" t="n"/>
      <c r="B212" s="6" t="n"/>
      <c r="C212" s="6" t="n"/>
      <c r="D212" s="6" t="n"/>
      <c r="E212" s="6" t="n"/>
      <c r="F212" s="11" t="n"/>
      <c r="G212" s="6" t="n"/>
      <c r="H212" s="6" t="n"/>
      <c r="I212" s="6" t="n"/>
      <c r="J212" s="6">
        <f>IF(OR($C212="",$I212&lt;&gt;"Evet"),"",SUMIFS($D$2:$D$300,$A$2:$A$300,$A212,$C$2:$C$300,$C212,$E$2:$E$300,$E212,$I$2:$I$300,"Evet"))</f>
        <v/>
      </c>
      <c r="K212" s="6">
        <f>IF($E212="","",VLOOKUP($E212,Listeler!$I$2:$J$4,2,0))</f>
        <v/>
      </c>
      <c r="L212" s="6">
        <f>IF($J212="","",IF($J212&gt;$K212,"ARŞEN ONAYI GEREKLİ","Doğrudan geçer"))</f>
        <v/>
      </c>
      <c r="M212" s="6" t="n"/>
      <c r="N212" s="6" t="n"/>
      <c r="O212" s="11" t="n"/>
      <c r="P212" s="6" t="n"/>
      <c r="Q212" s="6" t="n"/>
    </row>
    <row r="213">
      <c r="A213" s="6" t="n"/>
      <c r="B213" s="6" t="n"/>
      <c r="C213" s="6" t="n"/>
      <c r="D213" s="6" t="n"/>
      <c r="E213" s="6" t="n"/>
      <c r="F213" s="11" t="n"/>
      <c r="G213" s="6" t="n"/>
      <c r="H213" s="6" t="n"/>
      <c r="I213" s="6" t="n"/>
      <c r="J213" s="6">
        <f>IF(OR($C213="",$I213&lt;&gt;"Evet"),"",SUMIFS($D$2:$D$300,$A$2:$A$300,$A213,$C$2:$C$300,$C213,$E$2:$E$300,$E213,$I$2:$I$300,"Evet"))</f>
        <v/>
      </c>
      <c r="K213" s="6">
        <f>IF($E213="","",VLOOKUP($E213,Listeler!$I$2:$J$4,2,0))</f>
        <v/>
      </c>
      <c r="L213" s="6">
        <f>IF($J213="","",IF($J213&gt;$K213,"ARŞEN ONAYI GEREKLİ","Doğrudan geçer"))</f>
        <v/>
      </c>
      <c r="M213" s="6" t="n"/>
      <c r="N213" s="6" t="n"/>
      <c r="O213" s="11" t="n"/>
      <c r="P213" s="6" t="n"/>
      <c r="Q213" s="6" t="n"/>
    </row>
    <row r="214">
      <c r="A214" s="6" t="n"/>
      <c r="B214" s="6" t="n"/>
      <c r="C214" s="6" t="n"/>
      <c r="D214" s="6" t="n"/>
      <c r="E214" s="6" t="n"/>
      <c r="F214" s="11" t="n"/>
      <c r="G214" s="6" t="n"/>
      <c r="H214" s="6" t="n"/>
      <c r="I214" s="6" t="n"/>
      <c r="J214" s="6">
        <f>IF(OR($C214="",$I214&lt;&gt;"Evet"),"",SUMIFS($D$2:$D$300,$A$2:$A$300,$A214,$C$2:$C$300,$C214,$E$2:$E$300,$E214,$I$2:$I$300,"Evet"))</f>
        <v/>
      </c>
      <c r="K214" s="6">
        <f>IF($E214="","",VLOOKUP($E214,Listeler!$I$2:$J$4,2,0))</f>
        <v/>
      </c>
      <c r="L214" s="6">
        <f>IF($J214="","",IF($J214&gt;$K214,"ARŞEN ONAYI GEREKLİ","Doğrudan geçer"))</f>
        <v/>
      </c>
      <c r="M214" s="6" t="n"/>
      <c r="N214" s="6" t="n"/>
      <c r="O214" s="11" t="n"/>
      <c r="P214" s="6" t="n"/>
      <c r="Q214" s="6" t="n"/>
    </row>
    <row r="215">
      <c r="A215" s="6" t="n"/>
      <c r="B215" s="6" t="n"/>
      <c r="C215" s="6" t="n"/>
      <c r="D215" s="6" t="n"/>
      <c r="E215" s="6" t="n"/>
      <c r="F215" s="11" t="n"/>
      <c r="G215" s="6" t="n"/>
      <c r="H215" s="6" t="n"/>
      <c r="I215" s="6" t="n"/>
      <c r="J215" s="6">
        <f>IF(OR($C215="",$I215&lt;&gt;"Evet"),"",SUMIFS($D$2:$D$300,$A$2:$A$300,$A215,$C$2:$C$300,$C215,$E$2:$E$300,$E215,$I$2:$I$300,"Evet"))</f>
        <v/>
      </c>
      <c r="K215" s="6">
        <f>IF($E215="","",VLOOKUP($E215,Listeler!$I$2:$J$4,2,0))</f>
        <v/>
      </c>
      <c r="L215" s="6">
        <f>IF($J215="","",IF($J215&gt;$K215,"ARŞEN ONAYI GEREKLİ","Doğrudan geçer"))</f>
        <v/>
      </c>
      <c r="M215" s="6" t="n"/>
      <c r="N215" s="6" t="n"/>
      <c r="O215" s="11" t="n"/>
      <c r="P215" s="6" t="n"/>
      <c r="Q215" s="6" t="n"/>
    </row>
    <row r="216">
      <c r="A216" s="6" t="n"/>
      <c r="B216" s="6" t="n"/>
      <c r="C216" s="6" t="n"/>
      <c r="D216" s="6" t="n"/>
      <c r="E216" s="6" t="n"/>
      <c r="F216" s="11" t="n"/>
      <c r="G216" s="6" t="n"/>
      <c r="H216" s="6" t="n"/>
      <c r="I216" s="6" t="n"/>
      <c r="J216" s="6">
        <f>IF(OR($C216="",$I216&lt;&gt;"Evet"),"",SUMIFS($D$2:$D$300,$A$2:$A$300,$A216,$C$2:$C$300,$C216,$E$2:$E$300,$E216,$I$2:$I$300,"Evet"))</f>
        <v/>
      </c>
      <c r="K216" s="6">
        <f>IF($E216="","",VLOOKUP($E216,Listeler!$I$2:$J$4,2,0))</f>
        <v/>
      </c>
      <c r="L216" s="6">
        <f>IF($J216="","",IF($J216&gt;$K216,"ARŞEN ONAYI GEREKLİ","Doğrudan geçer"))</f>
        <v/>
      </c>
      <c r="M216" s="6" t="n"/>
      <c r="N216" s="6" t="n"/>
      <c r="O216" s="11" t="n"/>
      <c r="P216" s="6" t="n"/>
      <c r="Q216" s="6" t="n"/>
    </row>
    <row r="217">
      <c r="A217" s="6" t="n"/>
      <c r="B217" s="6" t="n"/>
      <c r="C217" s="6" t="n"/>
      <c r="D217" s="6" t="n"/>
      <c r="E217" s="6" t="n"/>
      <c r="F217" s="11" t="n"/>
      <c r="G217" s="6" t="n"/>
      <c r="H217" s="6" t="n"/>
      <c r="I217" s="6" t="n"/>
      <c r="J217" s="6">
        <f>IF(OR($C217="",$I217&lt;&gt;"Evet"),"",SUMIFS($D$2:$D$300,$A$2:$A$300,$A217,$C$2:$C$300,$C217,$E$2:$E$300,$E217,$I$2:$I$300,"Evet"))</f>
        <v/>
      </c>
      <c r="K217" s="6">
        <f>IF($E217="","",VLOOKUP($E217,Listeler!$I$2:$J$4,2,0))</f>
        <v/>
      </c>
      <c r="L217" s="6">
        <f>IF($J217="","",IF($J217&gt;$K217,"ARŞEN ONAYI GEREKLİ","Doğrudan geçer"))</f>
        <v/>
      </c>
      <c r="M217" s="6" t="n"/>
      <c r="N217" s="6" t="n"/>
      <c r="O217" s="11" t="n"/>
      <c r="P217" s="6" t="n"/>
      <c r="Q217" s="6" t="n"/>
    </row>
    <row r="218">
      <c r="A218" s="6" t="n"/>
      <c r="B218" s="6" t="n"/>
      <c r="C218" s="6" t="n"/>
      <c r="D218" s="6" t="n"/>
      <c r="E218" s="6" t="n"/>
      <c r="F218" s="11" t="n"/>
      <c r="G218" s="6" t="n"/>
      <c r="H218" s="6" t="n"/>
      <c r="I218" s="6" t="n"/>
      <c r="J218" s="6">
        <f>IF(OR($C218="",$I218&lt;&gt;"Evet"),"",SUMIFS($D$2:$D$300,$A$2:$A$300,$A218,$C$2:$C$300,$C218,$E$2:$E$300,$E218,$I$2:$I$300,"Evet"))</f>
        <v/>
      </c>
      <c r="K218" s="6">
        <f>IF($E218="","",VLOOKUP($E218,Listeler!$I$2:$J$4,2,0))</f>
        <v/>
      </c>
      <c r="L218" s="6">
        <f>IF($J218="","",IF($J218&gt;$K218,"ARŞEN ONAYI GEREKLİ","Doğrudan geçer"))</f>
        <v/>
      </c>
      <c r="M218" s="6" t="n"/>
      <c r="N218" s="6" t="n"/>
      <c r="O218" s="11" t="n"/>
      <c r="P218" s="6" t="n"/>
      <c r="Q218" s="6" t="n"/>
    </row>
    <row r="219">
      <c r="A219" s="6" t="n"/>
      <c r="B219" s="6" t="n"/>
      <c r="C219" s="6" t="n"/>
      <c r="D219" s="6" t="n"/>
      <c r="E219" s="6" t="n"/>
      <c r="F219" s="11" t="n"/>
      <c r="G219" s="6" t="n"/>
      <c r="H219" s="6" t="n"/>
      <c r="I219" s="6" t="n"/>
      <c r="J219" s="6">
        <f>IF(OR($C219="",$I219&lt;&gt;"Evet"),"",SUMIFS($D$2:$D$300,$A$2:$A$300,$A219,$C$2:$C$300,$C219,$E$2:$E$300,$E219,$I$2:$I$300,"Evet"))</f>
        <v/>
      </c>
      <c r="K219" s="6">
        <f>IF($E219="","",VLOOKUP($E219,Listeler!$I$2:$J$4,2,0))</f>
        <v/>
      </c>
      <c r="L219" s="6">
        <f>IF($J219="","",IF($J219&gt;$K219,"ARŞEN ONAYI GEREKLİ","Doğrudan geçer"))</f>
        <v/>
      </c>
      <c r="M219" s="6" t="n"/>
      <c r="N219" s="6" t="n"/>
      <c r="O219" s="11" t="n"/>
      <c r="P219" s="6" t="n"/>
      <c r="Q219" s="6" t="n"/>
    </row>
    <row r="220">
      <c r="A220" s="6" t="n"/>
      <c r="B220" s="6" t="n"/>
      <c r="C220" s="6" t="n"/>
      <c r="D220" s="6" t="n"/>
      <c r="E220" s="6" t="n"/>
      <c r="F220" s="11" t="n"/>
      <c r="G220" s="6" t="n"/>
      <c r="H220" s="6" t="n"/>
      <c r="I220" s="6" t="n"/>
      <c r="J220" s="6">
        <f>IF(OR($C220="",$I220&lt;&gt;"Evet"),"",SUMIFS($D$2:$D$300,$A$2:$A$300,$A220,$C$2:$C$300,$C220,$E$2:$E$300,$E220,$I$2:$I$300,"Evet"))</f>
        <v/>
      </c>
      <c r="K220" s="6">
        <f>IF($E220="","",VLOOKUP($E220,Listeler!$I$2:$J$4,2,0))</f>
        <v/>
      </c>
      <c r="L220" s="6">
        <f>IF($J220="","",IF($J220&gt;$K220,"ARŞEN ONAYI GEREKLİ","Doğrudan geçer"))</f>
        <v/>
      </c>
      <c r="M220" s="6" t="n"/>
      <c r="N220" s="6" t="n"/>
      <c r="O220" s="11" t="n"/>
      <c r="P220" s="6" t="n"/>
      <c r="Q220" s="6" t="n"/>
    </row>
    <row r="221">
      <c r="A221" s="6" t="n"/>
      <c r="B221" s="6" t="n"/>
      <c r="C221" s="6" t="n"/>
      <c r="D221" s="6" t="n"/>
      <c r="E221" s="6" t="n"/>
      <c r="F221" s="11" t="n"/>
      <c r="G221" s="6" t="n"/>
      <c r="H221" s="6" t="n"/>
      <c r="I221" s="6" t="n"/>
      <c r="J221" s="6">
        <f>IF(OR($C221="",$I221&lt;&gt;"Evet"),"",SUMIFS($D$2:$D$300,$A$2:$A$300,$A221,$C$2:$C$300,$C221,$E$2:$E$300,$E221,$I$2:$I$300,"Evet"))</f>
        <v/>
      </c>
      <c r="K221" s="6">
        <f>IF($E221="","",VLOOKUP($E221,Listeler!$I$2:$J$4,2,0))</f>
        <v/>
      </c>
      <c r="L221" s="6">
        <f>IF($J221="","",IF($J221&gt;$K221,"ARŞEN ONAYI GEREKLİ","Doğrudan geçer"))</f>
        <v/>
      </c>
      <c r="M221" s="6" t="n"/>
      <c r="N221" s="6" t="n"/>
      <c r="O221" s="11" t="n"/>
      <c r="P221" s="6" t="n"/>
      <c r="Q221" s="6" t="n"/>
    </row>
    <row r="222">
      <c r="A222" s="6" t="n"/>
      <c r="B222" s="6" t="n"/>
      <c r="C222" s="6" t="n"/>
      <c r="D222" s="6" t="n"/>
      <c r="E222" s="6" t="n"/>
      <c r="F222" s="11" t="n"/>
      <c r="G222" s="6" t="n"/>
      <c r="H222" s="6" t="n"/>
      <c r="I222" s="6" t="n"/>
      <c r="J222" s="6">
        <f>IF(OR($C222="",$I222&lt;&gt;"Evet"),"",SUMIFS($D$2:$D$300,$A$2:$A$300,$A222,$C$2:$C$300,$C222,$E$2:$E$300,$E222,$I$2:$I$300,"Evet"))</f>
        <v/>
      </c>
      <c r="K222" s="6">
        <f>IF($E222="","",VLOOKUP($E222,Listeler!$I$2:$J$4,2,0))</f>
        <v/>
      </c>
      <c r="L222" s="6">
        <f>IF($J222="","",IF($J222&gt;$K222,"ARŞEN ONAYI GEREKLİ","Doğrudan geçer"))</f>
        <v/>
      </c>
      <c r="M222" s="6" t="n"/>
      <c r="N222" s="6" t="n"/>
      <c r="O222" s="11" t="n"/>
      <c r="P222" s="6" t="n"/>
      <c r="Q222" s="6" t="n"/>
    </row>
    <row r="223">
      <c r="A223" s="6" t="n"/>
      <c r="B223" s="6" t="n"/>
      <c r="C223" s="6" t="n"/>
      <c r="D223" s="6" t="n"/>
      <c r="E223" s="6" t="n"/>
      <c r="F223" s="11" t="n"/>
      <c r="G223" s="6" t="n"/>
      <c r="H223" s="6" t="n"/>
      <c r="I223" s="6" t="n"/>
      <c r="J223" s="6">
        <f>IF(OR($C223="",$I223&lt;&gt;"Evet"),"",SUMIFS($D$2:$D$300,$A$2:$A$300,$A223,$C$2:$C$300,$C223,$E$2:$E$300,$E223,$I$2:$I$300,"Evet"))</f>
        <v/>
      </c>
      <c r="K223" s="6">
        <f>IF($E223="","",VLOOKUP($E223,Listeler!$I$2:$J$4,2,0))</f>
        <v/>
      </c>
      <c r="L223" s="6">
        <f>IF($J223="","",IF($J223&gt;$K223,"ARŞEN ONAYI GEREKLİ","Doğrudan geçer"))</f>
        <v/>
      </c>
      <c r="M223" s="6" t="n"/>
      <c r="N223" s="6" t="n"/>
      <c r="O223" s="11" t="n"/>
      <c r="P223" s="6" t="n"/>
      <c r="Q223" s="6" t="n"/>
    </row>
    <row r="224">
      <c r="A224" s="6" t="n"/>
      <c r="B224" s="6" t="n"/>
      <c r="C224" s="6" t="n"/>
      <c r="D224" s="6" t="n"/>
      <c r="E224" s="6" t="n"/>
      <c r="F224" s="11" t="n"/>
      <c r="G224" s="6" t="n"/>
      <c r="H224" s="6" t="n"/>
      <c r="I224" s="6" t="n"/>
      <c r="J224" s="6">
        <f>IF(OR($C224="",$I224&lt;&gt;"Evet"),"",SUMIFS($D$2:$D$300,$A$2:$A$300,$A224,$C$2:$C$300,$C224,$E$2:$E$300,$E224,$I$2:$I$300,"Evet"))</f>
        <v/>
      </c>
      <c r="K224" s="6">
        <f>IF($E224="","",VLOOKUP($E224,Listeler!$I$2:$J$4,2,0))</f>
        <v/>
      </c>
      <c r="L224" s="6">
        <f>IF($J224="","",IF($J224&gt;$K224,"ARŞEN ONAYI GEREKLİ","Doğrudan geçer"))</f>
        <v/>
      </c>
      <c r="M224" s="6" t="n"/>
      <c r="N224" s="6" t="n"/>
      <c r="O224" s="11" t="n"/>
      <c r="P224" s="6" t="n"/>
      <c r="Q224" s="6" t="n"/>
    </row>
    <row r="225">
      <c r="A225" s="6" t="n"/>
      <c r="B225" s="6" t="n"/>
      <c r="C225" s="6" t="n"/>
      <c r="D225" s="6" t="n"/>
      <c r="E225" s="6" t="n"/>
      <c r="F225" s="11" t="n"/>
      <c r="G225" s="6" t="n"/>
      <c r="H225" s="6" t="n"/>
      <c r="I225" s="6" t="n"/>
      <c r="J225" s="6">
        <f>IF(OR($C225="",$I225&lt;&gt;"Evet"),"",SUMIFS($D$2:$D$300,$A$2:$A$300,$A225,$C$2:$C$300,$C225,$E$2:$E$300,$E225,$I$2:$I$300,"Evet"))</f>
        <v/>
      </c>
      <c r="K225" s="6">
        <f>IF($E225="","",VLOOKUP($E225,Listeler!$I$2:$J$4,2,0))</f>
        <v/>
      </c>
      <c r="L225" s="6">
        <f>IF($J225="","",IF($J225&gt;$K225,"ARŞEN ONAYI GEREKLİ","Doğrudan geçer"))</f>
        <v/>
      </c>
      <c r="M225" s="6" t="n"/>
      <c r="N225" s="6" t="n"/>
      <c r="O225" s="11" t="n"/>
      <c r="P225" s="6" t="n"/>
      <c r="Q225" s="6" t="n"/>
    </row>
    <row r="226">
      <c r="A226" s="6" t="n"/>
      <c r="B226" s="6" t="n"/>
      <c r="C226" s="6" t="n"/>
      <c r="D226" s="6" t="n"/>
      <c r="E226" s="6" t="n"/>
      <c r="F226" s="11" t="n"/>
      <c r="G226" s="6" t="n"/>
      <c r="H226" s="6" t="n"/>
      <c r="I226" s="6" t="n"/>
      <c r="J226" s="6">
        <f>IF(OR($C226="",$I226&lt;&gt;"Evet"),"",SUMIFS($D$2:$D$300,$A$2:$A$300,$A226,$C$2:$C$300,$C226,$E$2:$E$300,$E226,$I$2:$I$300,"Evet"))</f>
        <v/>
      </c>
      <c r="K226" s="6">
        <f>IF($E226="","",VLOOKUP($E226,Listeler!$I$2:$J$4,2,0))</f>
        <v/>
      </c>
      <c r="L226" s="6">
        <f>IF($J226="","",IF($J226&gt;$K226,"ARŞEN ONAYI GEREKLİ","Doğrudan geçer"))</f>
        <v/>
      </c>
      <c r="M226" s="6" t="n"/>
      <c r="N226" s="6" t="n"/>
      <c r="O226" s="11" t="n"/>
      <c r="P226" s="6" t="n"/>
      <c r="Q226" s="6" t="n"/>
    </row>
    <row r="227">
      <c r="A227" s="6" t="n"/>
      <c r="B227" s="6" t="n"/>
      <c r="C227" s="6" t="n"/>
      <c r="D227" s="6" t="n"/>
      <c r="E227" s="6" t="n"/>
      <c r="F227" s="11" t="n"/>
      <c r="G227" s="6" t="n"/>
      <c r="H227" s="6" t="n"/>
      <c r="I227" s="6" t="n"/>
      <c r="J227" s="6">
        <f>IF(OR($C227="",$I227&lt;&gt;"Evet"),"",SUMIFS($D$2:$D$300,$A$2:$A$300,$A227,$C$2:$C$300,$C227,$E$2:$E$300,$E227,$I$2:$I$300,"Evet"))</f>
        <v/>
      </c>
      <c r="K227" s="6">
        <f>IF($E227="","",VLOOKUP($E227,Listeler!$I$2:$J$4,2,0))</f>
        <v/>
      </c>
      <c r="L227" s="6">
        <f>IF($J227="","",IF($J227&gt;$K227,"ARŞEN ONAYI GEREKLİ","Doğrudan geçer"))</f>
        <v/>
      </c>
      <c r="M227" s="6" t="n"/>
      <c r="N227" s="6" t="n"/>
      <c r="O227" s="11" t="n"/>
      <c r="P227" s="6" t="n"/>
      <c r="Q227" s="6" t="n"/>
    </row>
    <row r="228">
      <c r="A228" s="6" t="n"/>
      <c r="B228" s="6" t="n"/>
      <c r="C228" s="6" t="n"/>
      <c r="D228" s="6" t="n"/>
      <c r="E228" s="6" t="n"/>
      <c r="F228" s="11" t="n"/>
      <c r="G228" s="6" t="n"/>
      <c r="H228" s="6" t="n"/>
      <c r="I228" s="6" t="n"/>
      <c r="J228" s="6">
        <f>IF(OR($C228="",$I228&lt;&gt;"Evet"),"",SUMIFS($D$2:$D$300,$A$2:$A$300,$A228,$C$2:$C$300,$C228,$E$2:$E$300,$E228,$I$2:$I$300,"Evet"))</f>
        <v/>
      </c>
      <c r="K228" s="6">
        <f>IF($E228="","",VLOOKUP($E228,Listeler!$I$2:$J$4,2,0))</f>
        <v/>
      </c>
      <c r="L228" s="6">
        <f>IF($J228="","",IF($J228&gt;$K228,"ARŞEN ONAYI GEREKLİ","Doğrudan geçer"))</f>
        <v/>
      </c>
      <c r="M228" s="6" t="n"/>
      <c r="N228" s="6" t="n"/>
      <c r="O228" s="11" t="n"/>
      <c r="P228" s="6" t="n"/>
      <c r="Q228" s="6" t="n"/>
    </row>
    <row r="229">
      <c r="A229" s="6" t="n"/>
      <c r="B229" s="6" t="n"/>
      <c r="C229" s="6" t="n"/>
      <c r="D229" s="6" t="n"/>
      <c r="E229" s="6" t="n"/>
      <c r="F229" s="11" t="n"/>
      <c r="G229" s="6" t="n"/>
      <c r="H229" s="6" t="n"/>
      <c r="I229" s="6" t="n"/>
      <c r="J229" s="6">
        <f>IF(OR($C229="",$I229&lt;&gt;"Evet"),"",SUMIFS($D$2:$D$300,$A$2:$A$300,$A229,$C$2:$C$300,$C229,$E$2:$E$300,$E229,$I$2:$I$300,"Evet"))</f>
        <v/>
      </c>
      <c r="K229" s="6">
        <f>IF($E229="","",VLOOKUP($E229,Listeler!$I$2:$J$4,2,0))</f>
        <v/>
      </c>
      <c r="L229" s="6">
        <f>IF($J229="","",IF($J229&gt;$K229,"ARŞEN ONAYI GEREKLİ","Doğrudan geçer"))</f>
        <v/>
      </c>
      <c r="M229" s="6" t="n"/>
      <c r="N229" s="6" t="n"/>
      <c r="O229" s="11" t="n"/>
      <c r="P229" s="6" t="n"/>
      <c r="Q229" s="6" t="n"/>
    </row>
    <row r="230">
      <c r="A230" s="6" t="n"/>
      <c r="B230" s="6" t="n"/>
      <c r="C230" s="6" t="n"/>
      <c r="D230" s="6" t="n"/>
      <c r="E230" s="6" t="n"/>
      <c r="F230" s="11" t="n"/>
      <c r="G230" s="6" t="n"/>
      <c r="H230" s="6" t="n"/>
      <c r="I230" s="6" t="n"/>
      <c r="J230" s="6">
        <f>IF(OR($C230="",$I230&lt;&gt;"Evet"),"",SUMIFS($D$2:$D$300,$A$2:$A$300,$A230,$C$2:$C$300,$C230,$E$2:$E$300,$E230,$I$2:$I$300,"Evet"))</f>
        <v/>
      </c>
      <c r="K230" s="6">
        <f>IF($E230="","",VLOOKUP($E230,Listeler!$I$2:$J$4,2,0))</f>
        <v/>
      </c>
      <c r="L230" s="6">
        <f>IF($J230="","",IF($J230&gt;$K230,"ARŞEN ONAYI GEREKLİ","Doğrudan geçer"))</f>
        <v/>
      </c>
      <c r="M230" s="6" t="n"/>
      <c r="N230" s="6" t="n"/>
      <c r="O230" s="11" t="n"/>
      <c r="P230" s="6" t="n"/>
      <c r="Q230" s="6" t="n"/>
    </row>
    <row r="231">
      <c r="A231" s="6" t="n"/>
      <c r="B231" s="6" t="n"/>
      <c r="C231" s="6" t="n"/>
      <c r="D231" s="6" t="n"/>
      <c r="E231" s="6" t="n"/>
      <c r="F231" s="11" t="n"/>
      <c r="G231" s="6" t="n"/>
      <c r="H231" s="6" t="n"/>
      <c r="I231" s="6" t="n"/>
      <c r="J231" s="6">
        <f>IF(OR($C231="",$I231&lt;&gt;"Evet"),"",SUMIFS($D$2:$D$300,$A$2:$A$300,$A231,$C$2:$C$300,$C231,$E$2:$E$300,$E231,$I$2:$I$300,"Evet"))</f>
        <v/>
      </c>
      <c r="K231" s="6">
        <f>IF($E231="","",VLOOKUP($E231,Listeler!$I$2:$J$4,2,0))</f>
        <v/>
      </c>
      <c r="L231" s="6">
        <f>IF($J231="","",IF($J231&gt;$K231,"ARŞEN ONAYI GEREKLİ","Doğrudan geçer"))</f>
        <v/>
      </c>
      <c r="M231" s="6" t="n"/>
      <c r="N231" s="6" t="n"/>
      <c r="O231" s="11" t="n"/>
      <c r="P231" s="6" t="n"/>
      <c r="Q231" s="6" t="n"/>
    </row>
    <row r="232">
      <c r="A232" s="6" t="n"/>
      <c r="B232" s="6" t="n"/>
      <c r="C232" s="6" t="n"/>
      <c r="D232" s="6" t="n"/>
      <c r="E232" s="6" t="n"/>
      <c r="F232" s="11" t="n"/>
      <c r="G232" s="6" t="n"/>
      <c r="H232" s="6" t="n"/>
      <c r="I232" s="6" t="n"/>
      <c r="J232" s="6">
        <f>IF(OR($C232="",$I232&lt;&gt;"Evet"),"",SUMIFS($D$2:$D$300,$A$2:$A$300,$A232,$C$2:$C$300,$C232,$E$2:$E$300,$E232,$I$2:$I$300,"Evet"))</f>
        <v/>
      </c>
      <c r="K232" s="6">
        <f>IF($E232="","",VLOOKUP($E232,Listeler!$I$2:$J$4,2,0))</f>
        <v/>
      </c>
      <c r="L232" s="6">
        <f>IF($J232="","",IF($J232&gt;$K232,"ARŞEN ONAYI GEREKLİ","Doğrudan geçer"))</f>
        <v/>
      </c>
      <c r="M232" s="6" t="n"/>
      <c r="N232" s="6" t="n"/>
      <c r="O232" s="11" t="n"/>
      <c r="P232" s="6" t="n"/>
      <c r="Q232" s="6" t="n"/>
    </row>
    <row r="233">
      <c r="A233" s="6" t="n"/>
      <c r="B233" s="6" t="n"/>
      <c r="C233" s="6" t="n"/>
      <c r="D233" s="6" t="n"/>
      <c r="E233" s="6" t="n"/>
      <c r="F233" s="11" t="n"/>
      <c r="G233" s="6" t="n"/>
      <c r="H233" s="6" t="n"/>
      <c r="I233" s="6" t="n"/>
      <c r="J233" s="6">
        <f>IF(OR($C233="",$I233&lt;&gt;"Evet"),"",SUMIFS($D$2:$D$300,$A$2:$A$300,$A233,$C$2:$C$300,$C233,$E$2:$E$300,$E233,$I$2:$I$300,"Evet"))</f>
        <v/>
      </c>
      <c r="K233" s="6">
        <f>IF($E233="","",VLOOKUP($E233,Listeler!$I$2:$J$4,2,0))</f>
        <v/>
      </c>
      <c r="L233" s="6">
        <f>IF($J233="","",IF($J233&gt;$K233,"ARŞEN ONAYI GEREKLİ","Doğrudan geçer"))</f>
        <v/>
      </c>
      <c r="M233" s="6" t="n"/>
      <c r="N233" s="6" t="n"/>
      <c r="O233" s="11" t="n"/>
      <c r="P233" s="6" t="n"/>
      <c r="Q233" s="6" t="n"/>
    </row>
    <row r="234">
      <c r="A234" s="6" t="n"/>
      <c r="B234" s="6" t="n"/>
      <c r="C234" s="6" t="n"/>
      <c r="D234" s="6" t="n"/>
      <c r="E234" s="6" t="n"/>
      <c r="F234" s="11" t="n"/>
      <c r="G234" s="6" t="n"/>
      <c r="H234" s="6" t="n"/>
      <c r="I234" s="6" t="n"/>
      <c r="J234" s="6">
        <f>IF(OR($C234="",$I234&lt;&gt;"Evet"),"",SUMIFS($D$2:$D$300,$A$2:$A$300,$A234,$C$2:$C$300,$C234,$E$2:$E$300,$E234,$I$2:$I$300,"Evet"))</f>
        <v/>
      </c>
      <c r="K234" s="6">
        <f>IF($E234="","",VLOOKUP($E234,Listeler!$I$2:$J$4,2,0))</f>
        <v/>
      </c>
      <c r="L234" s="6">
        <f>IF($J234="","",IF($J234&gt;$K234,"ARŞEN ONAYI GEREKLİ","Doğrudan geçer"))</f>
        <v/>
      </c>
      <c r="M234" s="6" t="n"/>
      <c r="N234" s="6" t="n"/>
      <c r="O234" s="11" t="n"/>
      <c r="P234" s="6" t="n"/>
      <c r="Q234" s="6" t="n"/>
    </row>
    <row r="235">
      <c r="A235" s="6" t="n"/>
      <c r="B235" s="6" t="n"/>
      <c r="C235" s="6" t="n"/>
      <c r="D235" s="6" t="n"/>
      <c r="E235" s="6" t="n"/>
      <c r="F235" s="11" t="n"/>
      <c r="G235" s="6" t="n"/>
      <c r="H235" s="6" t="n"/>
      <c r="I235" s="6" t="n"/>
      <c r="J235" s="6">
        <f>IF(OR($C235="",$I235&lt;&gt;"Evet"),"",SUMIFS($D$2:$D$300,$A$2:$A$300,$A235,$C$2:$C$300,$C235,$E$2:$E$300,$E235,$I$2:$I$300,"Evet"))</f>
        <v/>
      </c>
      <c r="K235" s="6">
        <f>IF($E235="","",VLOOKUP($E235,Listeler!$I$2:$J$4,2,0))</f>
        <v/>
      </c>
      <c r="L235" s="6">
        <f>IF($J235="","",IF($J235&gt;$K235,"ARŞEN ONAYI GEREKLİ","Doğrudan geçer"))</f>
        <v/>
      </c>
      <c r="M235" s="6" t="n"/>
      <c r="N235" s="6" t="n"/>
      <c r="O235" s="11" t="n"/>
      <c r="P235" s="6" t="n"/>
      <c r="Q235" s="6" t="n"/>
    </row>
    <row r="236">
      <c r="A236" s="6" t="n"/>
      <c r="B236" s="6" t="n"/>
      <c r="C236" s="6" t="n"/>
      <c r="D236" s="6" t="n"/>
      <c r="E236" s="6" t="n"/>
      <c r="F236" s="11" t="n"/>
      <c r="G236" s="6" t="n"/>
      <c r="H236" s="6" t="n"/>
      <c r="I236" s="6" t="n"/>
      <c r="J236" s="6">
        <f>IF(OR($C236="",$I236&lt;&gt;"Evet"),"",SUMIFS($D$2:$D$300,$A$2:$A$300,$A236,$C$2:$C$300,$C236,$E$2:$E$300,$E236,$I$2:$I$300,"Evet"))</f>
        <v/>
      </c>
      <c r="K236" s="6">
        <f>IF($E236="","",VLOOKUP($E236,Listeler!$I$2:$J$4,2,0))</f>
        <v/>
      </c>
      <c r="L236" s="6">
        <f>IF($J236="","",IF($J236&gt;$K236,"ARŞEN ONAYI GEREKLİ","Doğrudan geçer"))</f>
        <v/>
      </c>
      <c r="M236" s="6" t="n"/>
      <c r="N236" s="6" t="n"/>
      <c r="O236" s="11" t="n"/>
      <c r="P236" s="6" t="n"/>
      <c r="Q236" s="6" t="n"/>
    </row>
    <row r="237">
      <c r="A237" s="6" t="n"/>
      <c r="B237" s="6" t="n"/>
      <c r="C237" s="6" t="n"/>
      <c r="D237" s="6" t="n"/>
      <c r="E237" s="6" t="n"/>
      <c r="F237" s="11" t="n"/>
      <c r="G237" s="6" t="n"/>
      <c r="H237" s="6" t="n"/>
      <c r="I237" s="6" t="n"/>
      <c r="J237" s="6">
        <f>IF(OR($C237="",$I237&lt;&gt;"Evet"),"",SUMIFS($D$2:$D$300,$A$2:$A$300,$A237,$C$2:$C$300,$C237,$E$2:$E$300,$E237,$I$2:$I$300,"Evet"))</f>
        <v/>
      </c>
      <c r="K237" s="6">
        <f>IF($E237="","",VLOOKUP($E237,Listeler!$I$2:$J$4,2,0))</f>
        <v/>
      </c>
      <c r="L237" s="6">
        <f>IF($J237="","",IF($J237&gt;$K237,"ARŞEN ONAYI GEREKLİ","Doğrudan geçer"))</f>
        <v/>
      </c>
      <c r="M237" s="6" t="n"/>
      <c r="N237" s="6" t="n"/>
      <c r="O237" s="11" t="n"/>
      <c r="P237" s="6" t="n"/>
      <c r="Q237" s="6" t="n"/>
    </row>
    <row r="238">
      <c r="A238" s="6" t="n"/>
      <c r="B238" s="6" t="n"/>
      <c r="C238" s="6" t="n"/>
      <c r="D238" s="6" t="n"/>
      <c r="E238" s="6" t="n"/>
      <c r="F238" s="11" t="n"/>
      <c r="G238" s="6" t="n"/>
      <c r="H238" s="6" t="n"/>
      <c r="I238" s="6" t="n"/>
      <c r="J238" s="6">
        <f>IF(OR($C238="",$I238&lt;&gt;"Evet"),"",SUMIFS($D$2:$D$300,$A$2:$A$300,$A238,$C$2:$C$300,$C238,$E$2:$E$300,$E238,$I$2:$I$300,"Evet"))</f>
        <v/>
      </c>
      <c r="K238" s="6">
        <f>IF($E238="","",VLOOKUP($E238,Listeler!$I$2:$J$4,2,0))</f>
        <v/>
      </c>
      <c r="L238" s="6">
        <f>IF($J238="","",IF($J238&gt;$K238,"ARŞEN ONAYI GEREKLİ","Doğrudan geçer"))</f>
        <v/>
      </c>
      <c r="M238" s="6" t="n"/>
      <c r="N238" s="6" t="n"/>
      <c r="O238" s="11" t="n"/>
      <c r="P238" s="6" t="n"/>
      <c r="Q238" s="6" t="n"/>
    </row>
    <row r="239">
      <c r="A239" s="6" t="n"/>
      <c r="B239" s="6" t="n"/>
      <c r="C239" s="6" t="n"/>
      <c r="D239" s="6" t="n"/>
      <c r="E239" s="6" t="n"/>
      <c r="F239" s="11" t="n"/>
      <c r="G239" s="6" t="n"/>
      <c r="H239" s="6" t="n"/>
      <c r="I239" s="6" t="n"/>
      <c r="J239" s="6">
        <f>IF(OR($C239="",$I239&lt;&gt;"Evet"),"",SUMIFS($D$2:$D$300,$A$2:$A$300,$A239,$C$2:$C$300,$C239,$E$2:$E$300,$E239,$I$2:$I$300,"Evet"))</f>
        <v/>
      </c>
      <c r="K239" s="6">
        <f>IF($E239="","",VLOOKUP($E239,Listeler!$I$2:$J$4,2,0))</f>
        <v/>
      </c>
      <c r="L239" s="6">
        <f>IF($J239="","",IF($J239&gt;$K239,"ARŞEN ONAYI GEREKLİ","Doğrudan geçer"))</f>
        <v/>
      </c>
      <c r="M239" s="6" t="n"/>
      <c r="N239" s="6" t="n"/>
      <c r="O239" s="11" t="n"/>
      <c r="P239" s="6" t="n"/>
      <c r="Q239" s="6" t="n"/>
    </row>
    <row r="240">
      <c r="A240" s="6" t="n"/>
      <c r="B240" s="6" t="n"/>
      <c r="C240" s="6" t="n"/>
      <c r="D240" s="6" t="n"/>
      <c r="E240" s="6" t="n"/>
      <c r="F240" s="11" t="n"/>
      <c r="G240" s="6" t="n"/>
      <c r="H240" s="6" t="n"/>
      <c r="I240" s="6" t="n"/>
      <c r="J240" s="6">
        <f>IF(OR($C240="",$I240&lt;&gt;"Evet"),"",SUMIFS($D$2:$D$300,$A$2:$A$300,$A240,$C$2:$C$300,$C240,$E$2:$E$300,$E240,$I$2:$I$300,"Evet"))</f>
        <v/>
      </c>
      <c r="K240" s="6">
        <f>IF($E240="","",VLOOKUP($E240,Listeler!$I$2:$J$4,2,0))</f>
        <v/>
      </c>
      <c r="L240" s="6">
        <f>IF($J240="","",IF($J240&gt;$K240,"ARŞEN ONAYI GEREKLİ","Doğrudan geçer"))</f>
        <v/>
      </c>
      <c r="M240" s="6" t="n"/>
      <c r="N240" s="6" t="n"/>
      <c r="O240" s="11" t="n"/>
      <c r="P240" s="6" t="n"/>
      <c r="Q240" s="6" t="n"/>
    </row>
    <row r="241">
      <c r="A241" s="6" t="n"/>
      <c r="B241" s="6" t="n"/>
      <c r="C241" s="6" t="n"/>
      <c r="D241" s="6" t="n"/>
      <c r="E241" s="6" t="n"/>
      <c r="F241" s="11" t="n"/>
      <c r="G241" s="6" t="n"/>
      <c r="H241" s="6" t="n"/>
      <c r="I241" s="6" t="n"/>
      <c r="J241" s="6">
        <f>IF(OR($C241="",$I241&lt;&gt;"Evet"),"",SUMIFS($D$2:$D$300,$A$2:$A$300,$A241,$C$2:$C$300,$C241,$E$2:$E$300,$E241,$I$2:$I$300,"Evet"))</f>
        <v/>
      </c>
      <c r="K241" s="6">
        <f>IF($E241="","",VLOOKUP($E241,Listeler!$I$2:$J$4,2,0))</f>
        <v/>
      </c>
      <c r="L241" s="6">
        <f>IF($J241="","",IF($J241&gt;$K241,"ARŞEN ONAYI GEREKLİ","Doğrudan geçer"))</f>
        <v/>
      </c>
      <c r="M241" s="6" t="n"/>
      <c r="N241" s="6" t="n"/>
      <c r="O241" s="11" t="n"/>
      <c r="P241" s="6" t="n"/>
      <c r="Q241" s="6" t="n"/>
    </row>
    <row r="242">
      <c r="A242" s="6" t="n"/>
      <c r="B242" s="6" t="n"/>
      <c r="C242" s="6" t="n"/>
      <c r="D242" s="6" t="n"/>
      <c r="E242" s="6" t="n"/>
      <c r="F242" s="11" t="n"/>
      <c r="G242" s="6" t="n"/>
      <c r="H242" s="6" t="n"/>
      <c r="I242" s="6" t="n"/>
      <c r="J242" s="6">
        <f>IF(OR($C242="",$I242&lt;&gt;"Evet"),"",SUMIFS($D$2:$D$300,$A$2:$A$300,$A242,$C$2:$C$300,$C242,$E$2:$E$300,$E242,$I$2:$I$300,"Evet"))</f>
        <v/>
      </c>
      <c r="K242" s="6">
        <f>IF($E242="","",VLOOKUP($E242,Listeler!$I$2:$J$4,2,0))</f>
        <v/>
      </c>
      <c r="L242" s="6">
        <f>IF($J242="","",IF($J242&gt;$K242,"ARŞEN ONAYI GEREKLİ","Doğrudan geçer"))</f>
        <v/>
      </c>
      <c r="M242" s="6" t="n"/>
      <c r="N242" s="6" t="n"/>
      <c r="O242" s="11" t="n"/>
      <c r="P242" s="6" t="n"/>
      <c r="Q242" s="6" t="n"/>
    </row>
    <row r="243">
      <c r="A243" s="6" t="n"/>
      <c r="B243" s="6" t="n"/>
      <c r="C243" s="6" t="n"/>
      <c r="D243" s="6" t="n"/>
      <c r="E243" s="6" t="n"/>
      <c r="F243" s="11" t="n"/>
      <c r="G243" s="6" t="n"/>
      <c r="H243" s="6" t="n"/>
      <c r="I243" s="6" t="n"/>
      <c r="J243" s="6">
        <f>IF(OR($C243="",$I243&lt;&gt;"Evet"),"",SUMIFS($D$2:$D$300,$A$2:$A$300,$A243,$C$2:$C$300,$C243,$E$2:$E$300,$E243,$I$2:$I$300,"Evet"))</f>
        <v/>
      </c>
      <c r="K243" s="6">
        <f>IF($E243="","",VLOOKUP($E243,Listeler!$I$2:$J$4,2,0))</f>
        <v/>
      </c>
      <c r="L243" s="6">
        <f>IF($J243="","",IF($J243&gt;$K243,"ARŞEN ONAYI GEREKLİ","Doğrudan geçer"))</f>
        <v/>
      </c>
      <c r="M243" s="6" t="n"/>
      <c r="N243" s="6" t="n"/>
      <c r="O243" s="11" t="n"/>
      <c r="P243" s="6" t="n"/>
      <c r="Q243" s="6" t="n"/>
    </row>
    <row r="244">
      <c r="A244" s="6" t="n"/>
      <c r="B244" s="6" t="n"/>
      <c r="C244" s="6" t="n"/>
      <c r="D244" s="6" t="n"/>
      <c r="E244" s="6" t="n"/>
      <c r="F244" s="11" t="n"/>
      <c r="G244" s="6" t="n"/>
      <c r="H244" s="6" t="n"/>
      <c r="I244" s="6" t="n"/>
      <c r="J244" s="6">
        <f>IF(OR($C244="",$I244&lt;&gt;"Evet"),"",SUMIFS($D$2:$D$300,$A$2:$A$300,$A244,$C$2:$C$300,$C244,$E$2:$E$300,$E244,$I$2:$I$300,"Evet"))</f>
        <v/>
      </c>
      <c r="K244" s="6">
        <f>IF($E244="","",VLOOKUP($E244,Listeler!$I$2:$J$4,2,0))</f>
        <v/>
      </c>
      <c r="L244" s="6">
        <f>IF($J244="","",IF($J244&gt;$K244,"ARŞEN ONAYI GEREKLİ","Doğrudan geçer"))</f>
        <v/>
      </c>
      <c r="M244" s="6" t="n"/>
      <c r="N244" s="6" t="n"/>
      <c r="O244" s="11" t="n"/>
      <c r="P244" s="6" t="n"/>
      <c r="Q244" s="6" t="n"/>
    </row>
    <row r="245">
      <c r="A245" s="6" t="n"/>
      <c r="B245" s="6" t="n"/>
      <c r="C245" s="6" t="n"/>
      <c r="D245" s="6" t="n"/>
      <c r="E245" s="6" t="n"/>
      <c r="F245" s="11" t="n"/>
      <c r="G245" s="6" t="n"/>
      <c r="H245" s="6" t="n"/>
      <c r="I245" s="6" t="n"/>
      <c r="J245" s="6">
        <f>IF(OR($C245="",$I245&lt;&gt;"Evet"),"",SUMIFS($D$2:$D$300,$A$2:$A$300,$A245,$C$2:$C$300,$C245,$E$2:$E$300,$E245,$I$2:$I$300,"Evet"))</f>
        <v/>
      </c>
      <c r="K245" s="6">
        <f>IF($E245="","",VLOOKUP($E245,Listeler!$I$2:$J$4,2,0))</f>
        <v/>
      </c>
      <c r="L245" s="6">
        <f>IF($J245="","",IF($J245&gt;$K245,"ARŞEN ONAYI GEREKLİ","Doğrudan geçer"))</f>
        <v/>
      </c>
      <c r="M245" s="6" t="n"/>
      <c r="N245" s="6" t="n"/>
      <c r="O245" s="11" t="n"/>
      <c r="P245" s="6" t="n"/>
      <c r="Q245" s="6" t="n"/>
    </row>
    <row r="246">
      <c r="A246" s="6" t="n"/>
      <c r="B246" s="6" t="n"/>
      <c r="C246" s="6" t="n"/>
      <c r="D246" s="6" t="n"/>
      <c r="E246" s="6" t="n"/>
      <c r="F246" s="11" t="n"/>
      <c r="G246" s="6" t="n"/>
      <c r="H246" s="6" t="n"/>
      <c r="I246" s="6" t="n"/>
      <c r="J246" s="6">
        <f>IF(OR($C246="",$I246&lt;&gt;"Evet"),"",SUMIFS($D$2:$D$300,$A$2:$A$300,$A246,$C$2:$C$300,$C246,$E$2:$E$300,$E246,$I$2:$I$300,"Evet"))</f>
        <v/>
      </c>
      <c r="K246" s="6">
        <f>IF($E246="","",VLOOKUP($E246,Listeler!$I$2:$J$4,2,0))</f>
        <v/>
      </c>
      <c r="L246" s="6">
        <f>IF($J246="","",IF($J246&gt;$K246,"ARŞEN ONAYI GEREKLİ","Doğrudan geçer"))</f>
        <v/>
      </c>
      <c r="M246" s="6" t="n"/>
      <c r="N246" s="6" t="n"/>
      <c r="O246" s="11" t="n"/>
      <c r="P246" s="6" t="n"/>
      <c r="Q246" s="6" t="n"/>
    </row>
    <row r="247">
      <c r="A247" s="6" t="n"/>
      <c r="B247" s="6" t="n"/>
      <c r="C247" s="6" t="n"/>
      <c r="D247" s="6" t="n"/>
      <c r="E247" s="6" t="n"/>
      <c r="F247" s="11" t="n"/>
      <c r="G247" s="6" t="n"/>
      <c r="H247" s="6" t="n"/>
      <c r="I247" s="6" t="n"/>
      <c r="J247" s="6">
        <f>IF(OR($C247="",$I247&lt;&gt;"Evet"),"",SUMIFS($D$2:$D$300,$A$2:$A$300,$A247,$C$2:$C$300,$C247,$E$2:$E$300,$E247,$I$2:$I$300,"Evet"))</f>
        <v/>
      </c>
      <c r="K247" s="6">
        <f>IF($E247="","",VLOOKUP($E247,Listeler!$I$2:$J$4,2,0))</f>
        <v/>
      </c>
      <c r="L247" s="6">
        <f>IF($J247="","",IF($J247&gt;$K247,"ARŞEN ONAYI GEREKLİ","Doğrudan geçer"))</f>
        <v/>
      </c>
      <c r="M247" s="6" t="n"/>
      <c r="N247" s="6" t="n"/>
      <c r="O247" s="11" t="n"/>
      <c r="P247" s="6" t="n"/>
      <c r="Q247" s="6" t="n"/>
    </row>
    <row r="248">
      <c r="A248" s="6" t="n"/>
      <c r="B248" s="6" t="n"/>
      <c r="C248" s="6" t="n"/>
      <c r="D248" s="6" t="n"/>
      <c r="E248" s="6" t="n"/>
      <c r="F248" s="11" t="n"/>
      <c r="G248" s="6" t="n"/>
      <c r="H248" s="6" t="n"/>
      <c r="I248" s="6" t="n"/>
      <c r="J248" s="6">
        <f>IF(OR($C248="",$I248&lt;&gt;"Evet"),"",SUMIFS($D$2:$D$300,$A$2:$A$300,$A248,$C$2:$C$300,$C248,$E$2:$E$300,$E248,$I$2:$I$300,"Evet"))</f>
        <v/>
      </c>
      <c r="K248" s="6">
        <f>IF($E248="","",VLOOKUP($E248,Listeler!$I$2:$J$4,2,0))</f>
        <v/>
      </c>
      <c r="L248" s="6">
        <f>IF($J248="","",IF($J248&gt;$K248,"ARŞEN ONAYI GEREKLİ","Doğrudan geçer"))</f>
        <v/>
      </c>
      <c r="M248" s="6" t="n"/>
      <c r="N248" s="6" t="n"/>
      <c r="O248" s="11" t="n"/>
      <c r="P248" s="6" t="n"/>
      <c r="Q248" s="6" t="n"/>
    </row>
    <row r="249">
      <c r="A249" s="6" t="n"/>
      <c r="B249" s="6" t="n"/>
      <c r="C249" s="6" t="n"/>
      <c r="D249" s="6" t="n"/>
      <c r="E249" s="6" t="n"/>
      <c r="F249" s="11" t="n"/>
      <c r="G249" s="6" t="n"/>
      <c r="H249" s="6" t="n"/>
      <c r="I249" s="6" t="n"/>
      <c r="J249" s="6">
        <f>IF(OR($C249="",$I249&lt;&gt;"Evet"),"",SUMIFS($D$2:$D$300,$A$2:$A$300,$A249,$C$2:$C$300,$C249,$E$2:$E$300,$E249,$I$2:$I$300,"Evet"))</f>
        <v/>
      </c>
      <c r="K249" s="6">
        <f>IF($E249="","",VLOOKUP($E249,Listeler!$I$2:$J$4,2,0))</f>
        <v/>
      </c>
      <c r="L249" s="6">
        <f>IF($J249="","",IF($J249&gt;$K249,"ARŞEN ONAYI GEREKLİ","Doğrudan geçer"))</f>
        <v/>
      </c>
      <c r="M249" s="6" t="n"/>
      <c r="N249" s="6" t="n"/>
      <c r="O249" s="11" t="n"/>
      <c r="P249" s="6" t="n"/>
      <c r="Q249" s="6" t="n"/>
    </row>
    <row r="250">
      <c r="A250" s="6" t="n"/>
      <c r="B250" s="6" t="n"/>
      <c r="C250" s="6" t="n"/>
      <c r="D250" s="6" t="n"/>
      <c r="E250" s="6" t="n"/>
      <c r="F250" s="11" t="n"/>
      <c r="G250" s="6" t="n"/>
      <c r="H250" s="6" t="n"/>
      <c r="I250" s="6" t="n"/>
      <c r="J250" s="6">
        <f>IF(OR($C250="",$I250&lt;&gt;"Evet"),"",SUMIFS($D$2:$D$300,$A$2:$A$300,$A250,$C$2:$C$300,$C250,$E$2:$E$300,$E250,$I$2:$I$300,"Evet"))</f>
        <v/>
      </c>
      <c r="K250" s="6">
        <f>IF($E250="","",VLOOKUP($E250,Listeler!$I$2:$J$4,2,0))</f>
        <v/>
      </c>
      <c r="L250" s="6">
        <f>IF($J250="","",IF($J250&gt;$K250,"ARŞEN ONAYI GEREKLİ","Doğrudan geçer"))</f>
        <v/>
      </c>
      <c r="M250" s="6" t="n"/>
      <c r="N250" s="6" t="n"/>
      <c r="O250" s="11" t="n"/>
      <c r="P250" s="6" t="n"/>
      <c r="Q250" s="6" t="n"/>
    </row>
    <row r="251">
      <c r="A251" s="6" t="n"/>
      <c r="B251" s="6" t="n"/>
      <c r="C251" s="6" t="n"/>
      <c r="D251" s="6" t="n"/>
      <c r="E251" s="6" t="n"/>
      <c r="F251" s="11" t="n"/>
      <c r="G251" s="6" t="n"/>
      <c r="H251" s="6" t="n"/>
      <c r="I251" s="6" t="n"/>
      <c r="J251" s="6">
        <f>IF(OR($C251="",$I251&lt;&gt;"Evet"),"",SUMIFS($D$2:$D$300,$A$2:$A$300,$A251,$C$2:$C$300,$C251,$E$2:$E$300,$E251,$I$2:$I$300,"Evet"))</f>
        <v/>
      </c>
      <c r="K251" s="6">
        <f>IF($E251="","",VLOOKUP($E251,Listeler!$I$2:$J$4,2,0))</f>
        <v/>
      </c>
      <c r="L251" s="6">
        <f>IF($J251="","",IF($J251&gt;$K251,"ARŞEN ONAYI GEREKLİ","Doğrudan geçer"))</f>
        <v/>
      </c>
      <c r="M251" s="6" t="n"/>
      <c r="N251" s="6" t="n"/>
      <c r="O251" s="11" t="n"/>
      <c r="P251" s="6" t="n"/>
      <c r="Q251" s="6" t="n"/>
    </row>
    <row r="252">
      <c r="A252" s="6" t="n"/>
      <c r="B252" s="6" t="n"/>
      <c r="C252" s="6" t="n"/>
      <c r="D252" s="6" t="n"/>
      <c r="E252" s="6" t="n"/>
      <c r="F252" s="11" t="n"/>
      <c r="G252" s="6" t="n"/>
      <c r="H252" s="6" t="n"/>
      <c r="I252" s="6" t="n"/>
      <c r="J252" s="6">
        <f>IF(OR($C252="",$I252&lt;&gt;"Evet"),"",SUMIFS($D$2:$D$300,$A$2:$A$300,$A252,$C$2:$C$300,$C252,$E$2:$E$300,$E252,$I$2:$I$300,"Evet"))</f>
        <v/>
      </c>
      <c r="K252" s="6">
        <f>IF($E252="","",VLOOKUP($E252,Listeler!$I$2:$J$4,2,0))</f>
        <v/>
      </c>
      <c r="L252" s="6">
        <f>IF($J252="","",IF($J252&gt;$K252,"ARŞEN ONAYI GEREKLİ","Doğrudan geçer"))</f>
        <v/>
      </c>
      <c r="M252" s="6" t="n"/>
      <c r="N252" s="6" t="n"/>
      <c r="O252" s="11" t="n"/>
      <c r="P252" s="6" t="n"/>
      <c r="Q252" s="6" t="n"/>
    </row>
    <row r="253">
      <c r="A253" s="6" t="n"/>
      <c r="B253" s="6" t="n"/>
      <c r="C253" s="6" t="n"/>
      <c r="D253" s="6" t="n"/>
      <c r="E253" s="6" t="n"/>
      <c r="F253" s="11" t="n"/>
      <c r="G253" s="6" t="n"/>
      <c r="H253" s="6" t="n"/>
      <c r="I253" s="6" t="n"/>
      <c r="J253" s="6">
        <f>IF(OR($C253="",$I253&lt;&gt;"Evet"),"",SUMIFS($D$2:$D$300,$A$2:$A$300,$A253,$C$2:$C$300,$C253,$E$2:$E$300,$E253,$I$2:$I$300,"Evet"))</f>
        <v/>
      </c>
      <c r="K253" s="6">
        <f>IF($E253="","",VLOOKUP($E253,Listeler!$I$2:$J$4,2,0))</f>
        <v/>
      </c>
      <c r="L253" s="6">
        <f>IF($J253="","",IF($J253&gt;$K253,"ARŞEN ONAYI GEREKLİ","Doğrudan geçer"))</f>
        <v/>
      </c>
      <c r="M253" s="6" t="n"/>
      <c r="N253" s="6" t="n"/>
      <c r="O253" s="11" t="n"/>
      <c r="P253" s="6" t="n"/>
      <c r="Q253" s="6" t="n"/>
    </row>
    <row r="254">
      <c r="A254" s="6" t="n"/>
      <c r="B254" s="6" t="n"/>
      <c r="C254" s="6" t="n"/>
      <c r="D254" s="6" t="n"/>
      <c r="E254" s="6" t="n"/>
      <c r="F254" s="11" t="n"/>
      <c r="G254" s="6" t="n"/>
      <c r="H254" s="6" t="n"/>
      <c r="I254" s="6" t="n"/>
      <c r="J254" s="6">
        <f>IF(OR($C254="",$I254&lt;&gt;"Evet"),"",SUMIFS($D$2:$D$300,$A$2:$A$300,$A254,$C$2:$C$300,$C254,$E$2:$E$300,$E254,$I$2:$I$300,"Evet"))</f>
        <v/>
      </c>
      <c r="K254" s="6">
        <f>IF($E254="","",VLOOKUP($E254,Listeler!$I$2:$J$4,2,0))</f>
        <v/>
      </c>
      <c r="L254" s="6">
        <f>IF($J254="","",IF($J254&gt;$K254,"ARŞEN ONAYI GEREKLİ","Doğrudan geçer"))</f>
        <v/>
      </c>
      <c r="M254" s="6" t="n"/>
      <c r="N254" s="6" t="n"/>
      <c r="O254" s="11" t="n"/>
      <c r="P254" s="6" t="n"/>
      <c r="Q254" s="6" t="n"/>
    </row>
    <row r="255">
      <c r="A255" s="6" t="n"/>
      <c r="B255" s="6" t="n"/>
      <c r="C255" s="6" t="n"/>
      <c r="D255" s="6" t="n"/>
      <c r="E255" s="6" t="n"/>
      <c r="F255" s="11" t="n"/>
      <c r="G255" s="6" t="n"/>
      <c r="H255" s="6" t="n"/>
      <c r="I255" s="6" t="n"/>
      <c r="J255" s="6">
        <f>IF(OR($C255="",$I255&lt;&gt;"Evet"),"",SUMIFS($D$2:$D$300,$A$2:$A$300,$A255,$C$2:$C$300,$C255,$E$2:$E$300,$E255,$I$2:$I$300,"Evet"))</f>
        <v/>
      </c>
      <c r="K255" s="6">
        <f>IF($E255="","",VLOOKUP($E255,Listeler!$I$2:$J$4,2,0))</f>
        <v/>
      </c>
      <c r="L255" s="6">
        <f>IF($J255="","",IF($J255&gt;$K255,"ARŞEN ONAYI GEREKLİ","Doğrudan geçer"))</f>
        <v/>
      </c>
      <c r="M255" s="6" t="n"/>
      <c r="N255" s="6" t="n"/>
      <c r="O255" s="11" t="n"/>
      <c r="P255" s="6" t="n"/>
      <c r="Q255" s="6" t="n"/>
    </row>
    <row r="256">
      <c r="A256" s="6" t="n"/>
      <c r="B256" s="6" t="n"/>
      <c r="C256" s="6" t="n"/>
      <c r="D256" s="6" t="n"/>
      <c r="E256" s="6" t="n"/>
      <c r="F256" s="11" t="n"/>
      <c r="G256" s="6" t="n"/>
      <c r="H256" s="6" t="n"/>
      <c r="I256" s="6" t="n"/>
      <c r="J256" s="6">
        <f>IF(OR($C256="",$I256&lt;&gt;"Evet"),"",SUMIFS($D$2:$D$300,$A$2:$A$300,$A256,$C$2:$C$300,$C256,$E$2:$E$300,$E256,$I$2:$I$300,"Evet"))</f>
        <v/>
      </c>
      <c r="K256" s="6">
        <f>IF($E256="","",VLOOKUP($E256,Listeler!$I$2:$J$4,2,0))</f>
        <v/>
      </c>
      <c r="L256" s="6">
        <f>IF($J256="","",IF($J256&gt;$K256,"ARŞEN ONAYI GEREKLİ","Doğrudan geçer"))</f>
        <v/>
      </c>
      <c r="M256" s="6" t="n"/>
      <c r="N256" s="6" t="n"/>
      <c r="O256" s="11" t="n"/>
      <c r="P256" s="6" t="n"/>
      <c r="Q256" s="6" t="n"/>
    </row>
    <row r="257">
      <c r="A257" s="6" t="n"/>
      <c r="B257" s="6" t="n"/>
      <c r="C257" s="6" t="n"/>
      <c r="D257" s="6" t="n"/>
      <c r="E257" s="6" t="n"/>
      <c r="F257" s="11" t="n"/>
      <c r="G257" s="6" t="n"/>
      <c r="H257" s="6" t="n"/>
      <c r="I257" s="6" t="n"/>
      <c r="J257" s="6">
        <f>IF(OR($C257="",$I257&lt;&gt;"Evet"),"",SUMIFS($D$2:$D$300,$A$2:$A$300,$A257,$C$2:$C$300,$C257,$E$2:$E$300,$E257,$I$2:$I$300,"Evet"))</f>
        <v/>
      </c>
      <c r="K257" s="6">
        <f>IF($E257="","",VLOOKUP($E257,Listeler!$I$2:$J$4,2,0))</f>
        <v/>
      </c>
      <c r="L257" s="6">
        <f>IF($J257="","",IF($J257&gt;$K257,"ARŞEN ONAYI GEREKLİ","Doğrudan geçer"))</f>
        <v/>
      </c>
      <c r="M257" s="6" t="n"/>
      <c r="N257" s="6" t="n"/>
      <c r="O257" s="11" t="n"/>
      <c r="P257" s="6" t="n"/>
      <c r="Q257" s="6" t="n"/>
    </row>
    <row r="258">
      <c r="A258" s="6" t="n"/>
      <c r="B258" s="6" t="n"/>
      <c r="C258" s="6" t="n"/>
      <c r="D258" s="6" t="n"/>
      <c r="E258" s="6" t="n"/>
      <c r="F258" s="11" t="n"/>
      <c r="G258" s="6" t="n"/>
      <c r="H258" s="6" t="n"/>
      <c r="I258" s="6" t="n"/>
      <c r="J258" s="6">
        <f>IF(OR($C258="",$I258&lt;&gt;"Evet"),"",SUMIFS($D$2:$D$300,$A$2:$A$300,$A258,$C$2:$C$300,$C258,$E$2:$E$300,$E258,$I$2:$I$300,"Evet"))</f>
        <v/>
      </c>
      <c r="K258" s="6">
        <f>IF($E258="","",VLOOKUP($E258,Listeler!$I$2:$J$4,2,0))</f>
        <v/>
      </c>
      <c r="L258" s="6">
        <f>IF($J258="","",IF($J258&gt;$K258,"ARŞEN ONAYI GEREKLİ","Doğrudan geçer"))</f>
        <v/>
      </c>
      <c r="M258" s="6" t="n"/>
      <c r="N258" s="6" t="n"/>
      <c r="O258" s="11" t="n"/>
      <c r="P258" s="6" t="n"/>
      <c r="Q258" s="6" t="n"/>
    </row>
    <row r="259">
      <c r="A259" s="6" t="n"/>
      <c r="B259" s="6" t="n"/>
      <c r="C259" s="6" t="n"/>
      <c r="D259" s="6" t="n"/>
      <c r="E259" s="6" t="n"/>
      <c r="F259" s="11" t="n"/>
      <c r="G259" s="6" t="n"/>
      <c r="H259" s="6" t="n"/>
      <c r="I259" s="6" t="n"/>
      <c r="J259" s="6">
        <f>IF(OR($C259="",$I259&lt;&gt;"Evet"),"",SUMIFS($D$2:$D$300,$A$2:$A$300,$A259,$C$2:$C$300,$C259,$E$2:$E$300,$E259,$I$2:$I$300,"Evet"))</f>
        <v/>
      </c>
      <c r="K259" s="6">
        <f>IF($E259="","",VLOOKUP($E259,Listeler!$I$2:$J$4,2,0))</f>
        <v/>
      </c>
      <c r="L259" s="6">
        <f>IF($J259="","",IF($J259&gt;$K259,"ARŞEN ONAYI GEREKLİ","Doğrudan geçer"))</f>
        <v/>
      </c>
      <c r="M259" s="6" t="n"/>
      <c r="N259" s="6" t="n"/>
      <c r="O259" s="11" t="n"/>
      <c r="P259" s="6" t="n"/>
      <c r="Q259" s="6" t="n"/>
    </row>
    <row r="260">
      <c r="A260" s="6" t="n"/>
      <c r="B260" s="6" t="n"/>
      <c r="C260" s="6" t="n"/>
      <c r="D260" s="6" t="n"/>
      <c r="E260" s="6" t="n"/>
      <c r="F260" s="11" t="n"/>
      <c r="G260" s="6" t="n"/>
      <c r="H260" s="6" t="n"/>
      <c r="I260" s="6" t="n"/>
      <c r="J260" s="6">
        <f>IF(OR($C260="",$I260&lt;&gt;"Evet"),"",SUMIFS($D$2:$D$300,$A$2:$A$300,$A260,$C$2:$C$300,$C260,$E$2:$E$300,$E260,$I$2:$I$300,"Evet"))</f>
        <v/>
      </c>
      <c r="K260" s="6">
        <f>IF($E260="","",VLOOKUP($E260,Listeler!$I$2:$J$4,2,0))</f>
        <v/>
      </c>
      <c r="L260" s="6">
        <f>IF($J260="","",IF($J260&gt;$K260,"ARŞEN ONAYI GEREKLİ","Doğrudan geçer"))</f>
        <v/>
      </c>
      <c r="M260" s="6" t="n"/>
      <c r="N260" s="6" t="n"/>
      <c r="O260" s="11" t="n"/>
      <c r="P260" s="6" t="n"/>
      <c r="Q260" s="6" t="n"/>
    </row>
    <row r="261">
      <c r="A261" s="6" t="n"/>
      <c r="B261" s="6" t="n"/>
      <c r="C261" s="6" t="n"/>
      <c r="D261" s="6" t="n"/>
      <c r="E261" s="6" t="n"/>
      <c r="F261" s="11" t="n"/>
      <c r="G261" s="6" t="n"/>
      <c r="H261" s="6" t="n"/>
      <c r="I261" s="6" t="n"/>
      <c r="J261" s="6">
        <f>IF(OR($C261="",$I261&lt;&gt;"Evet"),"",SUMIFS($D$2:$D$300,$A$2:$A$300,$A261,$C$2:$C$300,$C261,$E$2:$E$300,$E261,$I$2:$I$300,"Evet"))</f>
        <v/>
      </c>
      <c r="K261" s="6">
        <f>IF($E261="","",VLOOKUP($E261,Listeler!$I$2:$J$4,2,0))</f>
        <v/>
      </c>
      <c r="L261" s="6">
        <f>IF($J261="","",IF($J261&gt;$K261,"ARŞEN ONAYI GEREKLİ","Doğrudan geçer"))</f>
        <v/>
      </c>
      <c r="M261" s="6" t="n"/>
      <c r="N261" s="6" t="n"/>
      <c r="O261" s="11" t="n"/>
      <c r="P261" s="6" t="n"/>
      <c r="Q261" s="6" t="n"/>
    </row>
    <row r="262">
      <c r="A262" s="6" t="n"/>
      <c r="B262" s="6" t="n"/>
      <c r="C262" s="6" t="n"/>
      <c r="D262" s="6" t="n"/>
      <c r="E262" s="6" t="n"/>
      <c r="F262" s="11" t="n"/>
      <c r="G262" s="6" t="n"/>
      <c r="H262" s="6" t="n"/>
      <c r="I262" s="6" t="n"/>
      <c r="J262" s="6">
        <f>IF(OR($C262="",$I262&lt;&gt;"Evet"),"",SUMIFS($D$2:$D$300,$A$2:$A$300,$A262,$C$2:$C$300,$C262,$E$2:$E$300,$E262,$I$2:$I$300,"Evet"))</f>
        <v/>
      </c>
      <c r="K262" s="6">
        <f>IF($E262="","",VLOOKUP($E262,Listeler!$I$2:$J$4,2,0))</f>
        <v/>
      </c>
      <c r="L262" s="6">
        <f>IF($J262="","",IF($J262&gt;$K262,"ARŞEN ONAYI GEREKLİ","Doğrudan geçer"))</f>
        <v/>
      </c>
      <c r="M262" s="6" t="n"/>
      <c r="N262" s="6" t="n"/>
      <c r="O262" s="11" t="n"/>
      <c r="P262" s="6" t="n"/>
      <c r="Q262" s="6" t="n"/>
    </row>
    <row r="263">
      <c r="A263" s="6" t="n"/>
      <c r="B263" s="6" t="n"/>
      <c r="C263" s="6" t="n"/>
      <c r="D263" s="6" t="n"/>
      <c r="E263" s="6" t="n"/>
      <c r="F263" s="11" t="n"/>
      <c r="G263" s="6" t="n"/>
      <c r="H263" s="6" t="n"/>
      <c r="I263" s="6" t="n"/>
      <c r="J263" s="6">
        <f>IF(OR($C263="",$I263&lt;&gt;"Evet"),"",SUMIFS($D$2:$D$300,$A$2:$A$300,$A263,$C$2:$C$300,$C263,$E$2:$E$300,$E263,$I$2:$I$300,"Evet"))</f>
        <v/>
      </c>
      <c r="K263" s="6">
        <f>IF($E263="","",VLOOKUP($E263,Listeler!$I$2:$J$4,2,0))</f>
        <v/>
      </c>
      <c r="L263" s="6">
        <f>IF($J263="","",IF($J263&gt;$K263,"ARŞEN ONAYI GEREKLİ","Doğrudan geçer"))</f>
        <v/>
      </c>
      <c r="M263" s="6" t="n"/>
      <c r="N263" s="6" t="n"/>
      <c r="O263" s="11" t="n"/>
      <c r="P263" s="6" t="n"/>
      <c r="Q263" s="6" t="n"/>
    </row>
    <row r="264">
      <c r="A264" s="6" t="n"/>
      <c r="B264" s="6" t="n"/>
      <c r="C264" s="6" t="n"/>
      <c r="D264" s="6" t="n"/>
      <c r="E264" s="6" t="n"/>
      <c r="F264" s="11" t="n"/>
      <c r="G264" s="6" t="n"/>
      <c r="H264" s="6" t="n"/>
      <c r="I264" s="6" t="n"/>
      <c r="J264" s="6">
        <f>IF(OR($C264="",$I264&lt;&gt;"Evet"),"",SUMIFS($D$2:$D$300,$A$2:$A$300,$A264,$C$2:$C$300,$C264,$E$2:$E$300,$E264,$I$2:$I$300,"Evet"))</f>
        <v/>
      </c>
      <c r="K264" s="6">
        <f>IF($E264="","",VLOOKUP($E264,Listeler!$I$2:$J$4,2,0))</f>
        <v/>
      </c>
      <c r="L264" s="6">
        <f>IF($J264="","",IF($J264&gt;$K264,"ARŞEN ONAYI GEREKLİ","Doğrudan geçer"))</f>
        <v/>
      </c>
      <c r="M264" s="6" t="n"/>
      <c r="N264" s="6" t="n"/>
      <c r="O264" s="11" t="n"/>
      <c r="P264" s="6" t="n"/>
      <c r="Q264" s="6" t="n"/>
    </row>
    <row r="265">
      <c r="A265" s="6" t="n"/>
      <c r="B265" s="6" t="n"/>
      <c r="C265" s="6" t="n"/>
      <c r="D265" s="6" t="n"/>
      <c r="E265" s="6" t="n"/>
      <c r="F265" s="11" t="n"/>
      <c r="G265" s="6" t="n"/>
      <c r="H265" s="6" t="n"/>
      <c r="I265" s="6" t="n"/>
      <c r="J265" s="6">
        <f>IF(OR($C265="",$I265&lt;&gt;"Evet"),"",SUMIFS($D$2:$D$300,$A$2:$A$300,$A265,$C$2:$C$300,$C265,$E$2:$E$300,$E265,$I$2:$I$300,"Evet"))</f>
        <v/>
      </c>
      <c r="K265" s="6">
        <f>IF($E265="","",VLOOKUP($E265,Listeler!$I$2:$J$4,2,0))</f>
        <v/>
      </c>
      <c r="L265" s="6">
        <f>IF($J265="","",IF($J265&gt;$K265,"ARŞEN ONAYI GEREKLİ","Doğrudan geçer"))</f>
        <v/>
      </c>
      <c r="M265" s="6" t="n"/>
      <c r="N265" s="6" t="n"/>
      <c r="O265" s="11" t="n"/>
      <c r="P265" s="6" t="n"/>
      <c r="Q265" s="6" t="n"/>
    </row>
    <row r="266">
      <c r="A266" s="6" t="n"/>
      <c r="B266" s="6" t="n"/>
      <c r="C266" s="6" t="n"/>
      <c r="D266" s="6" t="n"/>
      <c r="E266" s="6" t="n"/>
      <c r="F266" s="11" t="n"/>
      <c r="G266" s="6" t="n"/>
      <c r="H266" s="6" t="n"/>
      <c r="I266" s="6" t="n"/>
      <c r="J266" s="6">
        <f>IF(OR($C266="",$I266&lt;&gt;"Evet"),"",SUMIFS($D$2:$D$300,$A$2:$A$300,$A266,$C$2:$C$300,$C266,$E$2:$E$300,$E266,$I$2:$I$300,"Evet"))</f>
        <v/>
      </c>
      <c r="K266" s="6">
        <f>IF($E266="","",VLOOKUP($E266,Listeler!$I$2:$J$4,2,0))</f>
        <v/>
      </c>
      <c r="L266" s="6">
        <f>IF($J266="","",IF($J266&gt;$K266,"ARŞEN ONAYI GEREKLİ","Doğrudan geçer"))</f>
        <v/>
      </c>
      <c r="M266" s="6" t="n"/>
      <c r="N266" s="6" t="n"/>
      <c r="O266" s="11" t="n"/>
      <c r="P266" s="6" t="n"/>
      <c r="Q266" s="6" t="n"/>
    </row>
    <row r="267">
      <c r="A267" s="6" t="n"/>
      <c r="B267" s="6" t="n"/>
      <c r="C267" s="6" t="n"/>
      <c r="D267" s="6" t="n"/>
      <c r="E267" s="6" t="n"/>
      <c r="F267" s="11" t="n"/>
      <c r="G267" s="6" t="n"/>
      <c r="H267" s="6" t="n"/>
      <c r="I267" s="6" t="n"/>
      <c r="J267" s="6">
        <f>IF(OR($C267="",$I267&lt;&gt;"Evet"),"",SUMIFS($D$2:$D$300,$A$2:$A$300,$A267,$C$2:$C$300,$C267,$E$2:$E$300,$E267,$I$2:$I$300,"Evet"))</f>
        <v/>
      </c>
      <c r="K267" s="6">
        <f>IF($E267="","",VLOOKUP($E267,Listeler!$I$2:$J$4,2,0))</f>
        <v/>
      </c>
      <c r="L267" s="6">
        <f>IF($J267="","",IF($J267&gt;$K267,"ARŞEN ONAYI GEREKLİ","Doğrudan geçer"))</f>
        <v/>
      </c>
      <c r="M267" s="6" t="n"/>
      <c r="N267" s="6" t="n"/>
      <c r="O267" s="11" t="n"/>
      <c r="P267" s="6" t="n"/>
      <c r="Q267" s="6" t="n"/>
    </row>
    <row r="268">
      <c r="A268" s="6" t="n"/>
      <c r="B268" s="6" t="n"/>
      <c r="C268" s="6" t="n"/>
      <c r="D268" s="6" t="n"/>
      <c r="E268" s="6" t="n"/>
      <c r="F268" s="11" t="n"/>
      <c r="G268" s="6" t="n"/>
      <c r="H268" s="6" t="n"/>
      <c r="I268" s="6" t="n"/>
      <c r="J268" s="6">
        <f>IF(OR($C268="",$I268&lt;&gt;"Evet"),"",SUMIFS($D$2:$D$300,$A$2:$A$300,$A268,$C$2:$C$300,$C268,$E$2:$E$300,$E268,$I$2:$I$300,"Evet"))</f>
        <v/>
      </c>
      <c r="K268" s="6">
        <f>IF($E268="","",VLOOKUP($E268,Listeler!$I$2:$J$4,2,0))</f>
        <v/>
      </c>
      <c r="L268" s="6">
        <f>IF($J268="","",IF($J268&gt;$K268,"ARŞEN ONAYI GEREKLİ","Doğrudan geçer"))</f>
        <v/>
      </c>
      <c r="M268" s="6" t="n"/>
      <c r="N268" s="6" t="n"/>
      <c r="O268" s="11" t="n"/>
      <c r="P268" s="6" t="n"/>
      <c r="Q268" s="6" t="n"/>
    </row>
    <row r="269">
      <c r="A269" s="6" t="n"/>
      <c r="B269" s="6" t="n"/>
      <c r="C269" s="6" t="n"/>
      <c r="D269" s="6" t="n"/>
      <c r="E269" s="6" t="n"/>
      <c r="F269" s="11" t="n"/>
      <c r="G269" s="6" t="n"/>
      <c r="H269" s="6" t="n"/>
      <c r="I269" s="6" t="n"/>
      <c r="J269" s="6">
        <f>IF(OR($C269="",$I269&lt;&gt;"Evet"),"",SUMIFS($D$2:$D$300,$A$2:$A$300,$A269,$C$2:$C$300,$C269,$E$2:$E$300,$E269,$I$2:$I$300,"Evet"))</f>
        <v/>
      </c>
      <c r="K269" s="6">
        <f>IF($E269="","",VLOOKUP($E269,Listeler!$I$2:$J$4,2,0))</f>
        <v/>
      </c>
      <c r="L269" s="6">
        <f>IF($J269="","",IF($J269&gt;$K269,"ARŞEN ONAYI GEREKLİ","Doğrudan geçer"))</f>
        <v/>
      </c>
      <c r="M269" s="6" t="n"/>
      <c r="N269" s="6" t="n"/>
      <c r="O269" s="11" t="n"/>
      <c r="P269" s="6" t="n"/>
      <c r="Q269" s="6" t="n"/>
    </row>
    <row r="270">
      <c r="A270" s="6" t="n"/>
      <c r="B270" s="6" t="n"/>
      <c r="C270" s="6" t="n"/>
      <c r="D270" s="6" t="n"/>
      <c r="E270" s="6" t="n"/>
      <c r="F270" s="11" t="n"/>
      <c r="G270" s="6" t="n"/>
      <c r="H270" s="6" t="n"/>
      <c r="I270" s="6" t="n"/>
      <c r="J270" s="6">
        <f>IF(OR($C270="",$I270&lt;&gt;"Evet"),"",SUMIFS($D$2:$D$300,$A$2:$A$300,$A270,$C$2:$C$300,$C270,$E$2:$E$300,$E270,$I$2:$I$300,"Evet"))</f>
        <v/>
      </c>
      <c r="K270" s="6">
        <f>IF($E270="","",VLOOKUP($E270,Listeler!$I$2:$J$4,2,0))</f>
        <v/>
      </c>
      <c r="L270" s="6">
        <f>IF($J270="","",IF($J270&gt;$K270,"ARŞEN ONAYI GEREKLİ","Doğrudan geçer"))</f>
        <v/>
      </c>
      <c r="M270" s="6" t="n"/>
      <c r="N270" s="6" t="n"/>
      <c r="O270" s="11" t="n"/>
      <c r="P270" s="6" t="n"/>
      <c r="Q270" s="6" t="n"/>
    </row>
    <row r="271">
      <c r="A271" s="6" t="n"/>
      <c r="B271" s="6" t="n"/>
      <c r="C271" s="6" t="n"/>
      <c r="D271" s="6" t="n"/>
      <c r="E271" s="6" t="n"/>
      <c r="F271" s="11" t="n"/>
      <c r="G271" s="6" t="n"/>
      <c r="H271" s="6" t="n"/>
      <c r="I271" s="6" t="n"/>
      <c r="J271" s="6">
        <f>IF(OR($C271="",$I271&lt;&gt;"Evet"),"",SUMIFS($D$2:$D$300,$A$2:$A$300,$A271,$C$2:$C$300,$C271,$E$2:$E$300,$E271,$I$2:$I$300,"Evet"))</f>
        <v/>
      </c>
      <c r="K271" s="6">
        <f>IF($E271="","",VLOOKUP($E271,Listeler!$I$2:$J$4,2,0))</f>
        <v/>
      </c>
      <c r="L271" s="6">
        <f>IF($J271="","",IF($J271&gt;$K271,"ARŞEN ONAYI GEREKLİ","Doğrudan geçer"))</f>
        <v/>
      </c>
      <c r="M271" s="6" t="n"/>
      <c r="N271" s="6" t="n"/>
      <c r="O271" s="11" t="n"/>
      <c r="P271" s="6" t="n"/>
      <c r="Q271" s="6" t="n"/>
    </row>
    <row r="272">
      <c r="A272" s="6" t="n"/>
      <c r="B272" s="6" t="n"/>
      <c r="C272" s="6" t="n"/>
      <c r="D272" s="6" t="n"/>
      <c r="E272" s="6" t="n"/>
      <c r="F272" s="11" t="n"/>
      <c r="G272" s="6" t="n"/>
      <c r="H272" s="6" t="n"/>
      <c r="I272" s="6" t="n"/>
      <c r="J272" s="6">
        <f>IF(OR($C272="",$I272&lt;&gt;"Evet"),"",SUMIFS($D$2:$D$300,$A$2:$A$300,$A272,$C$2:$C$300,$C272,$E$2:$E$300,$E272,$I$2:$I$300,"Evet"))</f>
        <v/>
      </c>
      <c r="K272" s="6">
        <f>IF($E272="","",VLOOKUP($E272,Listeler!$I$2:$J$4,2,0))</f>
        <v/>
      </c>
      <c r="L272" s="6">
        <f>IF($J272="","",IF($J272&gt;$K272,"ARŞEN ONAYI GEREKLİ","Doğrudan geçer"))</f>
        <v/>
      </c>
      <c r="M272" s="6" t="n"/>
      <c r="N272" s="6" t="n"/>
      <c r="O272" s="11" t="n"/>
      <c r="P272" s="6" t="n"/>
      <c r="Q272" s="6" t="n"/>
    </row>
    <row r="273">
      <c r="A273" s="6" t="n"/>
      <c r="B273" s="6" t="n"/>
      <c r="C273" s="6" t="n"/>
      <c r="D273" s="6" t="n"/>
      <c r="E273" s="6" t="n"/>
      <c r="F273" s="11" t="n"/>
      <c r="G273" s="6" t="n"/>
      <c r="H273" s="6" t="n"/>
      <c r="I273" s="6" t="n"/>
      <c r="J273" s="6">
        <f>IF(OR($C273="",$I273&lt;&gt;"Evet"),"",SUMIFS($D$2:$D$300,$A$2:$A$300,$A273,$C$2:$C$300,$C273,$E$2:$E$300,$E273,$I$2:$I$300,"Evet"))</f>
        <v/>
      </c>
      <c r="K273" s="6">
        <f>IF($E273="","",VLOOKUP($E273,Listeler!$I$2:$J$4,2,0))</f>
        <v/>
      </c>
      <c r="L273" s="6">
        <f>IF($J273="","",IF($J273&gt;$K273,"ARŞEN ONAYI GEREKLİ","Doğrudan geçer"))</f>
        <v/>
      </c>
      <c r="M273" s="6" t="n"/>
      <c r="N273" s="6" t="n"/>
      <c r="O273" s="11" t="n"/>
      <c r="P273" s="6" t="n"/>
      <c r="Q273" s="6" t="n"/>
    </row>
    <row r="274">
      <c r="A274" s="6" t="n"/>
      <c r="B274" s="6" t="n"/>
      <c r="C274" s="6" t="n"/>
      <c r="D274" s="6" t="n"/>
      <c r="E274" s="6" t="n"/>
      <c r="F274" s="11" t="n"/>
      <c r="G274" s="6" t="n"/>
      <c r="H274" s="6" t="n"/>
      <c r="I274" s="6" t="n"/>
      <c r="J274" s="6">
        <f>IF(OR($C274="",$I274&lt;&gt;"Evet"),"",SUMIFS($D$2:$D$300,$A$2:$A$300,$A274,$C$2:$C$300,$C274,$E$2:$E$300,$E274,$I$2:$I$300,"Evet"))</f>
        <v/>
      </c>
      <c r="K274" s="6">
        <f>IF($E274="","",VLOOKUP($E274,Listeler!$I$2:$J$4,2,0))</f>
        <v/>
      </c>
      <c r="L274" s="6">
        <f>IF($J274="","",IF($J274&gt;$K274,"ARŞEN ONAYI GEREKLİ","Doğrudan geçer"))</f>
        <v/>
      </c>
      <c r="M274" s="6" t="n"/>
      <c r="N274" s="6" t="n"/>
      <c r="O274" s="11" t="n"/>
      <c r="P274" s="6" t="n"/>
      <c r="Q274" s="6" t="n"/>
    </row>
    <row r="275">
      <c r="A275" s="6" t="n"/>
      <c r="B275" s="6" t="n"/>
      <c r="C275" s="6" t="n"/>
      <c r="D275" s="6" t="n"/>
      <c r="E275" s="6" t="n"/>
      <c r="F275" s="11" t="n"/>
      <c r="G275" s="6" t="n"/>
      <c r="H275" s="6" t="n"/>
      <c r="I275" s="6" t="n"/>
      <c r="J275" s="6">
        <f>IF(OR($C275="",$I275&lt;&gt;"Evet"),"",SUMIFS($D$2:$D$300,$A$2:$A$300,$A275,$C$2:$C$300,$C275,$E$2:$E$300,$E275,$I$2:$I$300,"Evet"))</f>
        <v/>
      </c>
      <c r="K275" s="6">
        <f>IF($E275="","",VLOOKUP($E275,Listeler!$I$2:$J$4,2,0))</f>
        <v/>
      </c>
      <c r="L275" s="6">
        <f>IF($J275="","",IF($J275&gt;$K275,"ARŞEN ONAYI GEREKLİ","Doğrudan geçer"))</f>
        <v/>
      </c>
      <c r="M275" s="6" t="n"/>
      <c r="N275" s="6" t="n"/>
      <c r="O275" s="11" t="n"/>
      <c r="P275" s="6" t="n"/>
      <c r="Q275" s="6" t="n"/>
    </row>
    <row r="276">
      <c r="A276" s="6" t="n"/>
      <c r="B276" s="6" t="n"/>
      <c r="C276" s="6" t="n"/>
      <c r="D276" s="6" t="n"/>
      <c r="E276" s="6" t="n"/>
      <c r="F276" s="11" t="n"/>
      <c r="G276" s="6" t="n"/>
      <c r="H276" s="6" t="n"/>
      <c r="I276" s="6" t="n"/>
      <c r="J276" s="6">
        <f>IF(OR($C276="",$I276&lt;&gt;"Evet"),"",SUMIFS($D$2:$D$300,$A$2:$A$300,$A276,$C$2:$C$300,$C276,$E$2:$E$300,$E276,$I$2:$I$300,"Evet"))</f>
        <v/>
      </c>
      <c r="K276" s="6">
        <f>IF($E276="","",VLOOKUP($E276,Listeler!$I$2:$J$4,2,0))</f>
        <v/>
      </c>
      <c r="L276" s="6">
        <f>IF($J276="","",IF($J276&gt;$K276,"ARŞEN ONAYI GEREKLİ","Doğrudan geçer"))</f>
        <v/>
      </c>
      <c r="M276" s="6" t="n"/>
      <c r="N276" s="6" t="n"/>
      <c r="O276" s="11" t="n"/>
      <c r="P276" s="6" t="n"/>
      <c r="Q276" s="6" t="n"/>
    </row>
    <row r="277">
      <c r="A277" s="6" t="n"/>
      <c r="B277" s="6" t="n"/>
      <c r="C277" s="6" t="n"/>
      <c r="D277" s="6" t="n"/>
      <c r="E277" s="6" t="n"/>
      <c r="F277" s="11" t="n"/>
      <c r="G277" s="6" t="n"/>
      <c r="H277" s="6" t="n"/>
      <c r="I277" s="6" t="n"/>
      <c r="J277" s="6">
        <f>IF(OR($C277="",$I277&lt;&gt;"Evet"),"",SUMIFS($D$2:$D$300,$A$2:$A$300,$A277,$C$2:$C$300,$C277,$E$2:$E$300,$E277,$I$2:$I$300,"Evet"))</f>
        <v/>
      </c>
      <c r="K277" s="6">
        <f>IF($E277="","",VLOOKUP($E277,Listeler!$I$2:$J$4,2,0))</f>
        <v/>
      </c>
      <c r="L277" s="6">
        <f>IF($J277="","",IF($J277&gt;$K277,"ARŞEN ONAYI GEREKLİ","Doğrudan geçer"))</f>
        <v/>
      </c>
      <c r="M277" s="6" t="n"/>
      <c r="N277" s="6" t="n"/>
      <c r="O277" s="11" t="n"/>
      <c r="P277" s="6" t="n"/>
      <c r="Q277" s="6" t="n"/>
    </row>
    <row r="278">
      <c r="A278" s="6" t="n"/>
      <c r="B278" s="6" t="n"/>
      <c r="C278" s="6" t="n"/>
      <c r="D278" s="6" t="n"/>
      <c r="E278" s="6" t="n"/>
      <c r="F278" s="11" t="n"/>
      <c r="G278" s="6" t="n"/>
      <c r="H278" s="6" t="n"/>
      <c r="I278" s="6" t="n"/>
      <c r="J278" s="6">
        <f>IF(OR($C278="",$I278&lt;&gt;"Evet"),"",SUMIFS($D$2:$D$300,$A$2:$A$300,$A278,$C$2:$C$300,$C278,$E$2:$E$300,$E278,$I$2:$I$300,"Evet"))</f>
        <v/>
      </c>
      <c r="K278" s="6">
        <f>IF($E278="","",VLOOKUP($E278,Listeler!$I$2:$J$4,2,0))</f>
        <v/>
      </c>
      <c r="L278" s="6">
        <f>IF($J278="","",IF($J278&gt;$K278,"ARŞEN ONAYI GEREKLİ","Doğrudan geçer"))</f>
        <v/>
      </c>
      <c r="M278" s="6" t="n"/>
      <c r="N278" s="6" t="n"/>
      <c r="O278" s="11" t="n"/>
      <c r="P278" s="6" t="n"/>
      <c r="Q278" s="6" t="n"/>
    </row>
    <row r="279">
      <c r="A279" s="6" t="n"/>
      <c r="B279" s="6" t="n"/>
      <c r="C279" s="6" t="n"/>
      <c r="D279" s="6" t="n"/>
      <c r="E279" s="6" t="n"/>
      <c r="F279" s="11" t="n"/>
      <c r="G279" s="6" t="n"/>
      <c r="H279" s="6" t="n"/>
      <c r="I279" s="6" t="n"/>
      <c r="J279" s="6">
        <f>IF(OR($C279="",$I279&lt;&gt;"Evet"),"",SUMIFS($D$2:$D$300,$A$2:$A$300,$A279,$C$2:$C$300,$C279,$E$2:$E$300,$E279,$I$2:$I$300,"Evet"))</f>
        <v/>
      </c>
      <c r="K279" s="6">
        <f>IF($E279="","",VLOOKUP($E279,Listeler!$I$2:$J$4,2,0))</f>
        <v/>
      </c>
      <c r="L279" s="6">
        <f>IF($J279="","",IF($J279&gt;$K279,"ARŞEN ONAYI GEREKLİ","Doğrudan geçer"))</f>
        <v/>
      </c>
      <c r="M279" s="6" t="n"/>
      <c r="N279" s="6" t="n"/>
      <c r="O279" s="11" t="n"/>
      <c r="P279" s="6" t="n"/>
      <c r="Q279" s="6" t="n"/>
    </row>
    <row r="280">
      <c r="A280" s="6" t="n"/>
      <c r="B280" s="6" t="n"/>
      <c r="C280" s="6" t="n"/>
      <c r="D280" s="6" t="n"/>
      <c r="E280" s="6" t="n"/>
      <c r="F280" s="11" t="n"/>
      <c r="G280" s="6" t="n"/>
      <c r="H280" s="6" t="n"/>
      <c r="I280" s="6" t="n"/>
      <c r="J280" s="6">
        <f>IF(OR($C280="",$I280&lt;&gt;"Evet"),"",SUMIFS($D$2:$D$300,$A$2:$A$300,$A280,$C$2:$C$300,$C280,$E$2:$E$300,$E280,$I$2:$I$300,"Evet"))</f>
        <v/>
      </c>
      <c r="K280" s="6">
        <f>IF($E280="","",VLOOKUP($E280,Listeler!$I$2:$J$4,2,0))</f>
        <v/>
      </c>
      <c r="L280" s="6">
        <f>IF($J280="","",IF($J280&gt;$K280,"ARŞEN ONAYI GEREKLİ","Doğrudan geçer"))</f>
        <v/>
      </c>
      <c r="M280" s="6" t="n"/>
      <c r="N280" s="6" t="n"/>
      <c r="O280" s="11" t="n"/>
      <c r="P280" s="6" t="n"/>
      <c r="Q280" s="6" t="n"/>
    </row>
    <row r="281">
      <c r="A281" s="6" t="n"/>
      <c r="B281" s="6" t="n"/>
      <c r="C281" s="6" t="n"/>
      <c r="D281" s="6" t="n"/>
      <c r="E281" s="6" t="n"/>
      <c r="F281" s="11" t="n"/>
      <c r="G281" s="6" t="n"/>
      <c r="H281" s="6" t="n"/>
      <c r="I281" s="6" t="n"/>
      <c r="J281" s="6">
        <f>IF(OR($C281="",$I281&lt;&gt;"Evet"),"",SUMIFS($D$2:$D$300,$A$2:$A$300,$A281,$C$2:$C$300,$C281,$E$2:$E$300,$E281,$I$2:$I$300,"Evet"))</f>
        <v/>
      </c>
      <c r="K281" s="6">
        <f>IF($E281="","",VLOOKUP($E281,Listeler!$I$2:$J$4,2,0))</f>
        <v/>
      </c>
      <c r="L281" s="6">
        <f>IF($J281="","",IF($J281&gt;$K281,"ARŞEN ONAYI GEREKLİ","Doğrudan geçer"))</f>
        <v/>
      </c>
      <c r="M281" s="6" t="n"/>
      <c r="N281" s="6" t="n"/>
      <c r="O281" s="11" t="n"/>
      <c r="P281" s="6" t="n"/>
      <c r="Q281" s="6" t="n"/>
    </row>
    <row r="282">
      <c r="A282" s="6" t="n"/>
      <c r="B282" s="6" t="n"/>
      <c r="C282" s="6" t="n"/>
      <c r="D282" s="6" t="n"/>
      <c r="E282" s="6" t="n"/>
      <c r="F282" s="11" t="n"/>
      <c r="G282" s="6" t="n"/>
      <c r="H282" s="6" t="n"/>
      <c r="I282" s="6" t="n"/>
      <c r="J282" s="6">
        <f>IF(OR($C282="",$I282&lt;&gt;"Evet"),"",SUMIFS($D$2:$D$300,$A$2:$A$300,$A282,$C$2:$C$300,$C282,$E$2:$E$300,$E282,$I$2:$I$300,"Evet"))</f>
        <v/>
      </c>
      <c r="K282" s="6">
        <f>IF($E282="","",VLOOKUP($E282,Listeler!$I$2:$J$4,2,0))</f>
        <v/>
      </c>
      <c r="L282" s="6">
        <f>IF($J282="","",IF($J282&gt;$K282,"ARŞEN ONAYI GEREKLİ","Doğrudan geçer"))</f>
        <v/>
      </c>
      <c r="M282" s="6" t="n"/>
      <c r="N282" s="6" t="n"/>
      <c r="O282" s="11" t="n"/>
      <c r="P282" s="6" t="n"/>
      <c r="Q282" s="6" t="n"/>
    </row>
    <row r="283">
      <c r="A283" s="6" t="n"/>
      <c r="B283" s="6" t="n"/>
      <c r="C283" s="6" t="n"/>
      <c r="D283" s="6" t="n"/>
      <c r="E283" s="6" t="n"/>
      <c r="F283" s="11" t="n"/>
      <c r="G283" s="6" t="n"/>
      <c r="H283" s="6" t="n"/>
      <c r="I283" s="6" t="n"/>
      <c r="J283" s="6">
        <f>IF(OR($C283="",$I283&lt;&gt;"Evet"),"",SUMIFS($D$2:$D$300,$A$2:$A$300,$A283,$C$2:$C$300,$C283,$E$2:$E$300,$E283,$I$2:$I$300,"Evet"))</f>
        <v/>
      </c>
      <c r="K283" s="6">
        <f>IF($E283="","",VLOOKUP($E283,Listeler!$I$2:$J$4,2,0))</f>
        <v/>
      </c>
      <c r="L283" s="6">
        <f>IF($J283="","",IF($J283&gt;$K283,"ARŞEN ONAYI GEREKLİ","Doğrudan geçer"))</f>
        <v/>
      </c>
      <c r="M283" s="6" t="n"/>
      <c r="N283" s="6" t="n"/>
      <c r="O283" s="11" t="n"/>
      <c r="P283" s="6" t="n"/>
      <c r="Q283" s="6" t="n"/>
    </row>
    <row r="284">
      <c r="A284" s="6" t="n"/>
      <c r="B284" s="6" t="n"/>
      <c r="C284" s="6" t="n"/>
      <c r="D284" s="6" t="n"/>
      <c r="E284" s="6" t="n"/>
      <c r="F284" s="11" t="n"/>
      <c r="G284" s="6" t="n"/>
      <c r="H284" s="6" t="n"/>
      <c r="I284" s="6" t="n"/>
      <c r="J284" s="6">
        <f>IF(OR($C284="",$I284&lt;&gt;"Evet"),"",SUMIFS($D$2:$D$300,$A$2:$A$300,$A284,$C$2:$C$300,$C284,$E$2:$E$300,$E284,$I$2:$I$300,"Evet"))</f>
        <v/>
      </c>
      <c r="K284" s="6">
        <f>IF($E284="","",VLOOKUP($E284,Listeler!$I$2:$J$4,2,0))</f>
        <v/>
      </c>
      <c r="L284" s="6">
        <f>IF($J284="","",IF($J284&gt;$K284,"ARŞEN ONAYI GEREKLİ","Doğrudan geçer"))</f>
        <v/>
      </c>
      <c r="M284" s="6" t="n"/>
      <c r="N284" s="6" t="n"/>
      <c r="O284" s="11" t="n"/>
      <c r="P284" s="6" t="n"/>
      <c r="Q284" s="6" t="n"/>
    </row>
    <row r="285">
      <c r="A285" s="6" t="n"/>
      <c r="B285" s="6" t="n"/>
      <c r="C285" s="6" t="n"/>
      <c r="D285" s="6" t="n"/>
      <c r="E285" s="6" t="n"/>
      <c r="F285" s="11" t="n"/>
      <c r="G285" s="6" t="n"/>
      <c r="H285" s="6" t="n"/>
      <c r="I285" s="6" t="n"/>
      <c r="J285" s="6">
        <f>IF(OR($C285="",$I285&lt;&gt;"Evet"),"",SUMIFS($D$2:$D$300,$A$2:$A$300,$A285,$C$2:$C$300,$C285,$E$2:$E$300,$E285,$I$2:$I$300,"Evet"))</f>
        <v/>
      </c>
      <c r="K285" s="6">
        <f>IF($E285="","",VLOOKUP($E285,Listeler!$I$2:$J$4,2,0))</f>
        <v/>
      </c>
      <c r="L285" s="6">
        <f>IF($J285="","",IF($J285&gt;$K285,"ARŞEN ONAYI GEREKLİ","Doğrudan geçer"))</f>
        <v/>
      </c>
      <c r="M285" s="6" t="n"/>
      <c r="N285" s="6" t="n"/>
      <c r="O285" s="11" t="n"/>
      <c r="P285" s="6" t="n"/>
      <c r="Q285" s="6" t="n"/>
    </row>
    <row r="286">
      <c r="A286" s="6" t="n"/>
      <c r="B286" s="6" t="n"/>
      <c r="C286" s="6" t="n"/>
      <c r="D286" s="6" t="n"/>
      <c r="E286" s="6" t="n"/>
      <c r="F286" s="11" t="n"/>
      <c r="G286" s="6" t="n"/>
      <c r="H286" s="6" t="n"/>
      <c r="I286" s="6" t="n"/>
      <c r="J286" s="6">
        <f>IF(OR($C286="",$I286&lt;&gt;"Evet"),"",SUMIFS($D$2:$D$300,$A$2:$A$300,$A286,$C$2:$C$300,$C286,$E$2:$E$300,$E286,$I$2:$I$300,"Evet"))</f>
        <v/>
      </c>
      <c r="K286" s="6">
        <f>IF($E286="","",VLOOKUP($E286,Listeler!$I$2:$J$4,2,0))</f>
        <v/>
      </c>
      <c r="L286" s="6">
        <f>IF($J286="","",IF($J286&gt;$K286,"ARŞEN ONAYI GEREKLİ","Doğrudan geçer"))</f>
        <v/>
      </c>
      <c r="M286" s="6" t="n"/>
      <c r="N286" s="6" t="n"/>
      <c r="O286" s="11" t="n"/>
      <c r="P286" s="6" t="n"/>
      <c r="Q286" s="6" t="n"/>
    </row>
    <row r="287">
      <c r="A287" s="6" t="n"/>
      <c r="B287" s="6" t="n"/>
      <c r="C287" s="6" t="n"/>
      <c r="D287" s="6" t="n"/>
      <c r="E287" s="6" t="n"/>
      <c r="F287" s="11" t="n"/>
      <c r="G287" s="6" t="n"/>
      <c r="H287" s="6" t="n"/>
      <c r="I287" s="6" t="n"/>
      <c r="J287" s="6">
        <f>IF(OR($C287="",$I287&lt;&gt;"Evet"),"",SUMIFS($D$2:$D$300,$A$2:$A$300,$A287,$C$2:$C$300,$C287,$E$2:$E$300,$E287,$I$2:$I$300,"Evet"))</f>
        <v/>
      </c>
      <c r="K287" s="6">
        <f>IF($E287="","",VLOOKUP($E287,Listeler!$I$2:$J$4,2,0))</f>
        <v/>
      </c>
      <c r="L287" s="6">
        <f>IF($J287="","",IF($J287&gt;$K287,"ARŞEN ONAYI GEREKLİ","Doğrudan geçer"))</f>
        <v/>
      </c>
      <c r="M287" s="6" t="n"/>
      <c r="N287" s="6" t="n"/>
      <c r="O287" s="11" t="n"/>
      <c r="P287" s="6" t="n"/>
      <c r="Q287" s="6" t="n"/>
    </row>
    <row r="288">
      <c r="A288" s="6" t="n"/>
      <c r="B288" s="6" t="n"/>
      <c r="C288" s="6" t="n"/>
      <c r="D288" s="6" t="n"/>
      <c r="E288" s="6" t="n"/>
      <c r="F288" s="11" t="n"/>
      <c r="G288" s="6" t="n"/>
      <c r="H288" s="6" t="n"/>
      <c r="I288" s="6" t="n"/>
      <c r="J288" s="6">
        <f>IF(OR($C288="",$I288&lt;&gt;"Evet"),"",SUMIFS($D$2:$D$300,$A$2:$A$300,$A288,$C$2:$C$300,$C288,$E$2:$E$300,$E288,$I$2:$I$300,"Evet"))</f>
        <v/>
      </c>
      <c r="K288" s="6">
        <f>IF($E288="","",VLOOKUP($E288,Listeler!$I$2:$J$4,2,0))</f>
        <v/>
      </c>
      <c r="L288" s="6">
        <f>IF($J288="","",IF($J288&gt;$K288,"ARŞEN ONAYI GEREKLİ","Doğrudan geçer"))</f>
        <v/>
      </c>
      <c r="M288" s="6" t="n"/>
      <c r="N288" s="6" t="n"/>
      <c r="O288" s="11" t="n"/>
      <c r="P288" s="6" t="n"/>
      <c r="Q288" s="6" t="n"/>
    </row>
    <row r="289">
      <c r="A289" s="6" t="n"/>
      <c r="B289" s="6" t="n"/>
      <c r="C289" s="6" t="n"/>
      <c r="D289" s="6" t="n"/>
      <c r="E289" s="6" t="n"/>
      <c r="F289" s="11" t="n"/>
      <c r="G289" s="6" t="n"/>
      <c r="H289" s="6" t="n"/>
      <c r="I289" s="6" t="n"/>
      <c r="J289" s="6">
        <f>IF(OR($C289="",$I289&lt;&gt;"Evet"),"",SUMIFS($D$2:$D$300,$A$2:$A$300,$A289,$C$2:$C$300,$C289,$E$2:$E$300,$E289,$I$2:$I$300,"Evet"))</f>
        <v/>
      </c>
      <c r="K289" s="6">
        <f>IF($E289="","",VLOOKUP($E289,Listeler!$I$2:$J$4,2,0))</f>
        <v/>
      </c>
      <c r="L289" s="6">
        <f>IF($J289="","",IF($J289&gt;$K289,"ARŞEN ONAYI GEREKLİ","Doğrudan geçer"))</f>
        <v/>
      </c>
      <c r="M289" s="6" t="n"/>
      <c r="N289" s="6" t="n"/>
      <c r="O289" s="11" t="n"/>
      <c r="P289" s="6" t="n"/>
      <c r="Q289" s="6" t="n"/>
    </row>
    <row r="290">
      <c r="A290" s="6" t="n"/>
      <c r="B290" s="6" t="n"/>
      <c r="C290" s="6" t="n"/>
      <c r="D290" s="6" t="n"/>
      <c r="E290" s="6" t="n"/>
      <c r="F290" s="11" t="n"/>
      <c r="G290" s="6" t="n"/>
      <c r="H290" s="6" t="n"/>
      <c r="I290" s="6" t="n"/>
      <c r="J290" s="6">
        <f>IF(OR($C290="",$I290&lt;&gt;"Evet"),"",SUMIFS($D$2:$D$300,$A$2:$A$300,$A290,$C$2:$C$300,$C290,$E$2:$E$300,$E290,$I$2:$I$300,"Evet"))</f>
        <v/>
      </c>
      <c r="K290" s="6">
        <f>IF($E290="","",VLOOKUP($E290,Listeler!$I$2:$J$4,2,0))</f>
        <v/>
      </c>
      <c r="L290" s="6">
        <f>IF($J290="","",IF($J290&gt;$K290,"ARŞEN ONAYI GEREKLİ","Doğrudan geçer"))</f>
        <v/>
      </c>
      <c r="M290" s="6" t="n"/>
      <c r="N290" s="6" t="n"/>
      <c r="O290" s="11" t="n"/>
      <c r="P290" s="6" t="n"/>
      <c r="Q290" s="6" t="n"/>
    </row>
    <row r="291">
      <c r="A291" s="6" t="n"/>
      <c r="B291" s="6" t="n"/>
      <c r="C291" s="6" t="n"/>
      <c r="D291" s="6" t="n"/>
      <c r="E291" s="6" t="n"/>
      <c r="F291" s="11" t="n"/>
      <c r="G291" s="6" t="n"/>
      <c r="H291" s="6" t="n"/>
      <c r="I291" s="6" t="n"/>
      <c r="J291" s="6">
        <f>IF(OR($C291="",$I291&lt;&gt;"Evet"),"",SUMIFS($D$2:$D$300,$A$2:$A$300,$A291,$C$2:$C$300,$C291,$E$2:$E$300,$E291,$I$2:$I$300,"Evet"))</f>
        <v/>
      </c>
      <c r="K291" s="6">
        <f>IF($E291="","",VLOOKUP($E291,Listeler!$I$2:$J$4,2,0))</f>
        <v/>
      </c>
      <c r="L291" s="6">
        <f>IF($J291="","",IF($J291&gt;$K291,"ARŞEN ONAYI GEREKLİ","Doğrudan geçer"))</f>
        <v/>
      </c>
      <c r="M291" s="6" t="n"/>
      <c r="N291" s="6" t="n"/>
      <c r="O291" s="11" t="n"/>
      <c r="P291" s="6" t="n"/>
      <c r="Q291" s="6" t="n"/>
    </row>
    <row r="292">
      <c r="A292" s="6" t="n"/>
      <c r="B292" s="6" t="n"/>
      <c r="C292" s="6" t="n"/>
      <c r="D292" s="6" t="n"/>
      <c r="E292" s="6" t="n"/>
      <c r="F292" s="11" t="n"/>
      <c r="G292" s="6" t="n"/>
      <c r="H292" s="6" t="n"/>
      <c r="I292" s="6" t="n"/>
      <c r="J292" s="6">
        <f>IF(OR($C292="",$I292&lt;&gt;"Evet"),"",SUMIFS($D$2:$D$300,$A$2:$A$300,$A292,$C$2:$C$300,$C292,$E$2:$E$300,$E292,$I$2:$I$300,"Evet"))</f>
        <v/>
      </c>
      <c r="K292" s="6">
        <f>IF($E292="","",VLOOKUP($E292,Listeler!$I$2:$J$4,2,0))</f>
        <v/>
      </c>
      <c r="L292" s="6">
        <f>IF($J292="","",IF($J292&gt;$K292,"ARŞEN ONAYI GEREKLİ","Doğrudan geçer"))</f>
        <v/>
      </c>
      <c r="M292" s="6" t="n"/>
      <c r="N292" s="6" t="n"/>
      <c r="O292" s="11" t="n"/>
      <c r="P292" s="6" t="n"/>
      <c r="Q292" s="6" t="n"/>
    </row>
    <row r="293">
      <c r="A293" s="6" t="n"/>
      <c r="B293" s="6" t="n"/>
      <c r="C293" s="6" t="n"/>
      <c r="D293" s="6" t="n"/>
      <c r="E293" s="6" t="n"/>
      <c r="F293" s="11" t="n"/>
      <c r="G293" s="6" t="n"/>
      <c r="H293" s="6" t="n"/>
      <c r="I293" s="6" t="n"/>
      <c r="J293" s="6">
        <f>IF(OR($C293="",$I293&lt;&gt;"Evet"),"",SUMIFS($D$2:$D$300,$A$2:$A$300,$A293,$C$2:$C$300,$C293,$E$2:$E$300,$E293,$I$2:$I$300,"Evet"))</f>
        <v/>
      </c>
      <c r="K293" s="6">
        <f>IF($E293="","",VLOOKUP($E293,Listeler!$I$2:$J$4,2,0))</f>
        <v/>
      </c>
      <c r="L293" s="6">
        <f>IF($J293="","",IF($J293&gt;$K293,"ARŞEN ONAYI GEREKLİ","Doğrudan geçer"))</f>
        <v/>
      </c>
      <c r="M293" s="6" t="n"/>
      <c r="N293" s="6" t="n"/>
      <c r="O293" s="11" t="n"/>
      <c r="P293" s="6" t="n"/>
      <c r="Q293" s="6" t="n"/>
    </row>
    <row r="294">
      <c r="A294" s="6" t="n"/>
      <c r="B294" s="6" t="n"/>
      <c r="C294" s="6" t="n"/>
      <c r="D294" s="6" t="n"/>
      <c r="E294" s="6" t="n"/>
      <c r="F294" s="11" t="n"/>
      <c r="G294" s="6" t="n"/>
      <c r="H294" s="6" t="n"/>
      <c r="I294" s="6" t="n"/>
      <c r="J294" s="6">
        <f>IF(OR($C294="",$I294&lt;&gt;"Evet"),"",SUMIFS($D$2:$D$300,$A$2:$A$300,$A294,$C$2:$C$300,$C294,$E$2:$E$300,$E294,$I$2:$I$300,"Evet"))</f>
        <v/>
      </c>
      <c r="K294" s="6">
        <f>IF($E294="","",VLOOKUP($E294,Listeler!$I$2:$J$4,2,0))</f>
        <v/>
      </c>
      <c r="L294" s="6">
        <f>IF($J294="","",IF($J294&gt;$K294,"ARŞEN ONAYI GEREKLİ","Doğrudan geçer"))</f>
        <v/>
      </c>
      <c r="M294" s="6" t="n"/>
      <c r="N294" s="6" t="n"/>
      <c r="O294" s="11" t="n"/>
      <c r="P294" s="6" t="n"/>
      <c r="Q294" s="6" t="n"/>
    </row>
    <row r="295">
      <c r="A295" s="6" t="n"/>
      <c r="B295" s="6" t="n"/>
      <c r="C295" s="6" t="n"/>
      <c r="D295" s="6" t="n"/>
      <c r="E295" s="6" t="n"/>
      <c r="F295" s="11" t="n"/>
      <c r="G295" s="6" t="n"/>
      <c r="H295" s="6" t="n"/>
      <c r="I295" s="6" t="n"/>
      <c r="J295" s="6">
        <f>IF(OR($C295="",$I295&lt;&gt;"Evet"),"",SUMIFS($D$2:$D$300,$A$2:$A$300,$A295,$C$2:$C$300,$C295,$E$2:$E$300,$E295,$I$2:$I$300,"Evet"))</f>
        <v/>
      </c>
      <c r="K295" s="6">
        <f>IF($E295="","",VLOOKUP($E295,Listeler!$I$2:$J$4,2,0))</f>
        <v/>
      </c>
      <c r="L295" s="6">
        <f>IF($J295="","",IF($J295&gt;$K295,"ARŞEN ONAYI GEREKLİ","Doğrudan geçer"))</f>
        <v/>
      </c>
      <c r="M295" s="6" t="n"/>
      <c r="N295" s="6" t="n"/>
      <c r="O295" s="11" t="n"/>
      <c r="P295" s="6" t="n"/>
      <c r="Q295" s="6" t="n"/>
    </row>
    <row r="296">
      <c r="A296" s="6" t="n"/>
      <c r="B296" s="6" t="n"/>
      <c r="C296" s="6" t="n"/>
      <c r="D296" s="6" t="n"/>
      <c r="E296" s="6" t="n"/>
      <c r="F296" s="11" t="n"/>
      <c r="G296" s="6" t="n"/>
      <c r="H296" s="6" t="n"/>
      <c r="I296" s="6" t="n"/>
      <c r="J296" s="6">
        <f>IF(OR($C296="",$I296&lt;&gt;"Evet"),"",SUMIFS($D$2:$D$300,$A$2:$A$300,$A296,$C$2:$C$300,$C296,$E$2:$E$300,$E296,$I$2:$I$300,"Evet"))</f>
        <v/>
      </c>
      <c r="K296" s="6">
        <f>IF($E296="","",VLOOKUP($E296,Listeler!$I$2:$J$4,2,0))</f>
        <v/>
      </c>
      <c r="L296" s="6">
        <f>IF($J296="","",IF($J296&gt;$K296,"ARŞEN ONAYI GEREKLİ","Doğrudan geçer"))</f>
        <v/>
      </c>
      <c r="M296" s="6" t="n"/>
      <c r="N296" s="6" t="n"/>
      <c r="O296" s="11" t="n"/>
      <c r="P296" s="6" t="n"/>
      <c r="Q296" s="6" t="n"/>
    </row>
    <row r="297">
      <c r="A297" s="6" t="n"/>
      <c r="B297" s="6" t="n"/>
      <c r="C297" s="6" t="n"/>
      <c r="D297" s="6" t="n"/>
      <c r="E297" s="6" t="n"/>
      <c r="F297" s="11" t="n"/>
      <c r="G297" s="6" t="n"/>
      <c r="H297" s="6" t="n"/>
      <c r="I297" s="6" t="n"/>
      <c r="J297" s="6">
        <f>IF(OR($C297="",$I297&lt;&gt;"Evet"),"",SUMIFS($D$2:$D$300,$A$2:$A$300,$A297,$C$2:$C$300,$C297,$E$2:$E$300,$E297,$I$2:$I$300,"Evet"))</f>
        <v/>
      </c>
      <c r="K297" s="6">
        <f>IF($E297="","",VLOOKUP($E297,Listeler!$I$2:$J$4,2,0))</f>
        <v/>
      </c>
      <c r="L297" s="6">
        <f>IF($J297="","",IF($J297&gt;$K297,"ARŞEN ONAYI GEREKLİ","Doğrudan geçer"))</f>
        <v/>
      </c>
      <c r="M297" s="6" t="n"/>
      <c r="N297" s="6" t="n"/>
      <c r="O297" s="11" t="n"/>
      <c r="P297" s="6" t="n"/>
      <c r="Q297" s="6" t="n"/>
    </row>
    <row r="298">
      <c r="A298" s="6" t="n"/>
      <c r="B298" s="6" t="n"/>
      <c r="C298" s="6" t="n"/>
      <c r="D298" s="6" t="n"/>
      <c r="E298" s="6" t="n"/>
      <c r="F298" s="11" t="n"/>
      <c r="G298" s="6" t="n"/>
      <c r="H298" s="6" t="n"/>
      <c r="I298" s="6" t="n"/>
      <c r="J298" s="6">
        <f>IF(OR($C298="",$I298&lt;&gt;"Evet"),"",SUMIFS($D$2:$D$300,$A$2:$A$300,$A298,$C$2:$C$300,$C298,$E$2:$E$300,$E298,$I$2:$I$300,"Evet"))</f>
        <v/>
      </c>
      <c r="K298" s="6">
        <f>IF($E298="","",VLOOKUP($E298,Listeler!$I$2:$J$4,2,0))</f>
        <v/>
      </c>
      <c r="L298" s="6">
        <f>IF($J298="","",IF($J298&gt;$K298,"ARŞEN ONAYI GEREKLİ","Doğrudan geçer"))</f>
        <v/>
      </c>
      <c r="M298" s="6" t="n"/>
      <c r="N298" s="6" t="n"/>
      <c r="O298" s="11" t="n"/>
      <c r="P298" s="6" t="n"/>
      <c r="Q298" s="6" t="n"/>
    </row>
    <row r="299">
      <c r="A299" s="6" t="n"/>
      <c r="B299" s="6" t="n"/>
      <c r="C299" s="6" t="n"/>
      <c r="D299" s="6" t="n"/>
      <c r="E299" s="6" t="n"/>
      <c r="F299" s="11" t="n"/>
      <c r="G299" s="6" t="n"/>
      <c r="H299" s="6" t="n"/>
      <c r="I299" s="6" t="n"/>
      <c r="J299" s="6">
        <f>IF(OR($C299="",$I299&lt;&gt;"Evet"),"",SUMIFS($D$2:$D$300,$A$2:$A$300,$A299,$C$2:$C$300,$C299,$E$2:$E$300,$E299,$I$2:$I$300,"Evet"))</f>
        <v/>
      </c>
      <c r="K299" s="6">
        <f>IF($E299="","",VLOOKUP($E299,Listeler!$I$2:$J$4,2,0))</f>
        <v/>
      </c>
      <c r="L299" s="6">
        <f>IF($J299="","",IF($J299&gt;$K299,"ARŞEN ONAYI GEREKLİ","Doğrudan geçer"))</f>
        <v/>
      </c>
      <c r="M299" s="6" t="n"/>
      <c r="N299" s="6" t="n"/>
      <c r="O299" s="11" t="n"/>
      <c r="P299" s="6" t="n"/>
      <c r="Q299" s="6" t="n"/>
    </row>
    <row r="300">
      <c r="A300" s="6" t="n"/>
      <c r="B300" s="6" t="n"/>
      <c r="C300" s="6" t="n"/>
      <c r="D300" s="6" t="n"/>
      <c r="E300" s="6" t="n"/>
      <c r="F300" s="11" t="n"/>
      <c r="G300" s="6" t="n"/>
      <c r="H300" s="6" t="n"/>
      <c r="I300" s="6" t="n"/>
      <c r="J300" s="6">
        <f>IF(OR($C300="",$I300&lt;&gt;"Evet"),"",SUMIFS($D$2:$D$300,$A$2:$A$300,$A300,$C$2:$C$300,$C300,$E$2:$E$300,$E300,$I$2:$I$300,"Evet"))</f>
        <v/>
      </c>
      <c r="K300" s="6">
        <f>IF($E300="","",VLOOKUP($E300,Listeler!$I$2:$J$4,2,0))</f>
        <v/>
      </c>
      <c r="L300" s="6">
        <f>IF($J300="","",IF($J300&gt;$K300,"ARŞEN ONAYI GEREKLİ","Doğrudan geçer"))</f>
        <v/>
      </c>
      <c r="M300" s="6" t="n"/>
      <c r="N300" s="6" t="n"/>
      <c r="O300" s="11" t="n"/>
      <c r="P300" s="6" t="n"/>
      <c r="Q300" s="6" t="n"/>
    </row>
  </sheetData>
  <conditionalFormatting sqref="A2:Q300">
    <cfRule type="expression" priority="1" dxfId="2">
      <formula>$L2="ARŞEN ONAYI GEREKLİ"</formula>
    </cfRule>
    <cfRule type="expression" priority="2" dxfId="1">
      <formula>$M2="onaylandı"</formula>
    </cfRule>
    <cfRule type="expression" priority="3" dxfId="0">
      <formula>$M2="reddedildi"</formula>
    </cfRule>
  </conditionalFormatting>
  <dataValidations count="4">
    <dataValidation sqref="E2:E300" showDropDown="0" showInputMessage="0" showErrorMessage="0" allowBlank="1" type="list">
      <formula1>=Listeler!$E$2:$E$4</formula1>
    </dataValidation>
    <dataValidation sqref="I2:I300" showDropDown="0" showInputMessage="0" showErrorMessage="0" allowBlank="1" type="list">
      <formula1>=Listeler!$G$2:$G$4</formula1>
    </dataValidation>
    <dataValidation sqref="M2:M300" showDropDown="0" showInputMessage="0" showErrorMessage="0" allowBlank="1" type="list">
      <formula1>=Listeler!$C$2:$C$6</formula1>
    </dataValidation>
    <dataValidation sqref="P2:P300" showDropDown="0" showInputMessage="0" showErrorMessage="0" allowBlank="1" type="list">
      <formula1>=Listeler!$D$2:$D$6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120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1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</cols>
  <sheetData>
    <row r="1">
      <c r="A1" s="5" t="inlineStr">
        <is>
          <t>Yıl:</t>
        </is>
      </c>
      <c r="B1" s="5" t="n">
        <v>2026</v>
      </c>
      <c r="D1" s="2" t="inlineStr">
        <is>
          <t>Başlangıç ve bitiş tarihlerini girin — çubuklar otomatik boyanır.</t>
        </is>
      </c>
    </row>
    <row r="2">
      <c r="A2" s="8" t="inlineStr">
        <is>
          <t>Proje Kodu</t>
        </is>
      </c>
      <c r="B2" s="8" t="inlineStr">
        <is>
          <t>Aşama</t>
        </is>
      </c>
      <c r="C2" s="8" t="inlineStr">
        <is>
          <t>Başlangıç</t>
        </is>
      </c>
      <c r="D2" s="8" t="inlineStr">
        <is>
          <t>Bitiş</t>
        </is>
      </c>
      <c r="E2" s="9" t="n">
        <v>1</v>
      </c>
      <c r="F2" s="9" t="n">
        <v>2</v>
      </c>
      <c r="G2" s="9" t="n">
        <v>3</v>
      </c>
      <c r="H2" s="9" t="n">
        <v>4</v>
      </c>
      <c r="I2" s="9" t="n">
        <v>5</v>
      </c>
      <c r="J2" s="9" t="n">
        <v>6</v>
      </c>
      <c r="K2" s="9" t="n">
        <v>7</v>
      </c>
      <c r="L2" s="9" t="n">
        <v>8</v>
      </c>
      <c r="M2" s="9" t="n">
        <v>9</v>
      </c>
      <c r="N2" s="9" t="n">
        <v>10</v>
      </c>
      <c r="O2" s="9" t="n">
        <v>11</v>
      </c>
      <c r="P2" s="9" t="n">
        <v>12</v>
      </c>
      <c r="Q2" s="9" t="n">
        <v>13</v>
      </c>
      <c r="R2" s="9" t="n">
        <v>14</v>
      </c>
      <c r="S2" s="9" t="n">
        <v>15</v>
      </c>
      <c r="T2" s="9" t="n">
        <v>16</v>
      </c>
      <c r="U2" s="9" t="n">
        <v>17</v>
      </c>
      <c r="V2" s="9" t="n">
        <v>18</v>
      </c>
      <c r="W2" s="9" t="n">
        <v>19</v>
      </c>
      <c r="X2" s="9" t="n">
        <v>20</v>
      </c>
      <c r="Y2" s="9" t="n">
        <v>21</v>
      </c>
      <c r="Z2" s="9" t="n">
        <v>22</v>
      </c>
      <c r="AA2" s="9" t="n">
        <v>23</v>
      </c>
      <c r="AB2" s="9" t="n">
        <v>24</v>
      </c>
      <c r="AC2" s="9" t="n">
        <v>25</v>
      </c>
      <c r="AD2" s="9" t="n">
        <v>26</v>
      </c>
      <c r="AE2" s="9" t="n">
        <v>27</v>
      </c>
      <c r="AF2" s="9" t="n">
        <v>28</v>
      </c>
      <c r="AG2" s="9" t="n">
        <v>29</v>
      </c>
      <c r="AH2" s="9" t="n">
        <v>30</v>
      </c>
      <c r="AI2" s="9" t="n">
        <v>31</v>
      </c>
      <c r="AJ2" s="9" t="n">
        <v>32</v>
      </c>
      <c r="AK2" s="9" t="n">
        <v>33</v>
      </c>
      <c r="AL2" s="9" t="n">
        <v>34</v>
      </c>
      <c r="AM2" s="9" t="n">
        <v>35</v>
      </c>
      <c r="AN2" s="9" t="n">
        <v>36</v>
      </c>
      <c r="AO2" s="9" t="n">
        <v>37</v>
      </c>
      <c r="AP2" s="9" t="n">
        <v>38</v>
      </c>
      <c r="AQ2" s="9" t="n">
        <v>39</v>
      </c>
      <c r="AR2" s="9" t="n">
        <v>40</v>
      </c>
      <c r="AS2" s="9" t="n">
        <v>41</v>
      </c>
      <c r="AT2" s="9" t="n">
        <v>42</v>
      </c>
      <c r="AU2" s="9" t="n">
        <v>43</v>
      </c>
      <c r="AV2" s="9" t="n">
        <v>44</v>
      </c>
      <c r="AW2" s="9" t="n">
        <v>45</v>
      </c>
      <c r="AX2" s="9" t="n">
        <v>46</v>
      </c>
      <c r="AY2" s="9" t="n">
        <v>47</v>
      </c>
      <c r="AZ2" s="9" t="n">
        <v>48</v>
      </c>
      <c r="BA2" s="9" t="n">
        <v>49</v>
      </c>
      <c r="BB2" s="9" t="n">
        <v>50</v>
      </c>
      <c r="BC2" s="9" t="n">
        <v>51</v>
      </c>
      <c r="BD2" s="9" t="n">
        <v>52</v>
      </c>
      <c r="BE2" s="9" t="n">
        <v>53</v>
      </c>
      <c r="BF2" s="9" t="n">
        <v>54</v>
      </c>
    </row>
    <row r="3">
      <c r="A3" s="6" t="inlineStr">
        <is>
          <t>ARS-2026-001-D</t>
        </is>
      </c>
      <c r="B3" s="6" t="inlineStr">
        <is>
          <t>Mühendislik</t>
        </is>
      </c>
      <c r="C3" s="11" t="n">
        <v>46174</v>
      </c>
      <c r="D3" s="11" t="n">
        <v>46201</v>
      </c>
      <c r="E3" s="10">
        <f>IF(OR($C3="",$D3=""),"",IF(AND(DATE($B$1,1,1)+(1-1)*7&lt;=$D3,DATE($B$1,1,1)+1*7-1&gt;=$C3),1,""))</f>
        <v/>
      </c>
      <c r="F3" s="10">
        <f>IF(OR($C3="",$D3=""),"",IF(AND(DATE($B$1,1,1)+(2-1)*7&lt;=$D3,DATE($B$1,1,1)+2*7-1&gt;=$C3),1,""))</f>
        <v/>
      </c>
      <c r="G3" s="10">
        <f>IF(OR($C3="",$D3=""),"",IF(AND(DATE($B$1,1,1)+(3-1)*7&lt;=$D3,DATE($B$1,1,1)+3*7-1&gt;=$C3),1,""))</f>
        <v/>
      </c>
      <c r="H3" s="10">
        <f>IF(OR($C3="",$D3=""),"",IF(AND(DATE($B$1,1,1)+(4-1)*7&lt;=$D3,DATE($B$1,1,1)+4*7-1&gt;=$C3),1,""))</f>
        <v/>
      </c>
      <c r="I3" s="10">
        <f>IF(OR($C3="",$D3=""),"",IF(AND(DATE($B$1,1,1)+(5-1)*7&lt;=$D3,DATE($B$1,1,1)+5*7-1&gt;=$C3),1,""))</f>
        <v/>
      </c>
      <c r="J3" s="10">
        <f>IF(OR($C3="",$D3=""),"",IF(AND(DATE($B$1,1,1)+(6-1)*7&lt;=$D3,DATE($B$1,1,1)+6*7-1&gt;=$C3),1,""))</f>
        <v/>
      </c>
      <c r="K3" s="10">
        <f>IF(OR($C3="",$D3=""),"",IF(AND(DATE($B$1,1,1)+(7-1)*7&lt;=$D3,DATE($B$1,1,1)+7*7-1&gt;=$C3),1,""))</f>
        <v/>
      </c>
      <c r="L3" s="10">
        <f>IF(OR($C3="",$D3=""),"",IF(AND(DATE($B$1,1,1)+(8-1)*7&lt;=$D3,DATE($B$1,1,1)+8*7-1&gt;=$C3),1,""))</f>
        <v/>
      </c>
      <c r="M3" s="10">
        <f>IF(OR($C3="",$D3=""),"",IF(AND(DATE($B$1,1,1)+(9-1)*7&lt;=$D3,DATE($B$1,1,1)+9*7-1&gt;=$C3),1,""))</f>
        <v/>
      </c>
      <c r="N3" s="10">
        <f>IF(OR($C3="",$D3=""),"",IF(AND(DATE($B$1,1,1)+(10-1)*7&lt;=$D3,DATE($B$1,1,1)+10*7-1&gt;=$C3),1,""))</f>
        <v/>
      </c>
      <c r="O3" s="10">
        <f>IF(OR($C3="",$D3=""),"",IF(AND(DATE($B$1,1,1)+(11-1)*7&lt;=$D3,DATE($B$1,1,1)+11*7-1&gt;=$C3),1,""))</f>
        <v/>
      </c>
      <c r="P3" s="10">
        <f>IF(OR($C3="",$D3=""),"",IF(AND(DATE($B$1,1,1)+(12-1)*7&lt;=$D3,DATE($B$1,1,1)+12*7-1&gt;=$C3),1,""))</f>
        <v/>
      </c>
      <c r="Q3" s="10">
        <f>IF(OR($C3="",$D3=""),"",IF(AND(DATE($B$1,1,1)+(13-1)*7&lt;=$D3,DATE($B$1,1,1)+13*7-1&gt;=$C3),1,""))</f>
        <v/>
      </c>
      <c r="R3" s="10">
        <f>IF(OR($C3="",$D3=""),"",IF(AND(DATE($B$1,1,1)+(14-1)*7&lt;=$D3,DATE($B$1,1,1)+14*7-1&gt;=$C3),1,""))</f>
        <v/>
      </c>
      <c r="S3" s="10">
        <f>IF(OR($C3="",$D3=""),"",IF(AND(DATE($B$1,1,1)+(15-1)*7&lt;=$D3,DATE($B$1,1,1)+15*7-1&gt;=$C3),1,""))</f>
        <v/>
      </c>
      <c r="T3" s="10">
        <f>IF(OR($C3="",$D3=""),"",IF(AND(DATE($B$1,1,1)+(16-1)*7&lt;=$D3,DATE($B$1,1,1)+16*7-1&gt;=$C3),1,""))</f>
        <v/>
      </c>
      <c r="U3" s="10">
        <f>IF(OR($C3="",$D3=""),"",IF(AND(DATE($B$1,1,1)+(17-1)*7&lt;=$D3,DATE($B$1,1,1)+17*7-1&gt;=$C3),1,""))</f>
        <v/>
      </c>
      <c r="V3" s="10">
        <f>IF(OR($C3="",$D3=""),"",IF(AND(DATE($B$1,1,1)+(18-1)*7&lt;=$D3,DATE($B$1,1,1)+18*7-1&gt;=$C3),1,""))</f>
        <v/>
      </c>
      <c r="W3" s="10">
        <f>IF(OR($C3="",$D3=""),"",IF(AND(DATE($B$1,1,1)+(19-1)*7&lt;=$D3,DATE($B$1,1,1)+19*7-1&gt;=$C3),1,""))</f>
        <v/>
      </c>
      <c r="X3" s="10">
        <f>IF(OR($C3="",$D3=""),"",IF(AND(DATE($B$1,1,1)+(20-1)*7&lt;=$D3,DATE($B$1,1,1)+20*7-1&gt;=$C3),1,""))</f>
        <v/>
      </c>
      <c r="Y3" s="10">
        <f>IF(OR($C3="",$D3=""),"",IF(AND(DATE($B$1,1,1)+(21-1)*7&lt;=$D3,DATE($B$1,1,1)+21*7-1&gt;=$C3),1,""))</f>
        <v/>
      </c>
      <c r="Z3" s="10">
        <f>IF(OR($C3="",$D3=""),"",IF(AND(DATE($B$1,1,1)+(22-1)*7&lt;=$D3,DATE($B$1,1,1)+22*7-1&gt;=$C3),1,""))</f>
        <v/>
      </c>
      <c r="AA3" s="10">
        <f>IF(OR($C3="",$D3=""),"",IF(AND(DATE($B$1,1,1)+(23-1)*7&lt;=$D3,DATE($B$1,1,1)+23*7-1&gt;=$C3),1,""))</f>
        <v/>
      </c>
      <c r="AB3" s="10">
        <f>IF(OR($C3="",$D3=""),"",IF(AND(DATE($B$1,1,1)+(24-1)*7&lt;=$D3,DATE($B$1,1,1)+24*7-1&gt;=$C3),1,""))</f>
        <v/>
      </c>
      <c r="AC3" s="10">
        <f>IF(OR($C3="",$D3=""),"",IF(AND(DATE($B$1,1,1)+(25-1)*7&lt;=$D3,DATE($B$1,1,1)+25*7-1&gt;=$C3),1,""))</f>
        <v/>
      </c>
      <c r="AD3" s="10">
        <f>IF(OR($C3="",$D3=""),"",IF(AND(DATE($B$1,1,1)+(26-1)*7&lt;=$D3,DATE($B$1,1,1)+26*7-1&gt;=$C3),1,""))</f>
        <v/>
      </c>
      <c r="AE3" s="10">
        <f>IF(OR($C3="",$D3=""),"",IF(AND(DATE($B$1,1,1)+(27-1)*7&lt;=$D3,DATE($B$1,1,1)+27*7-1&gt;=$C3),1,""))</f>
        <v/>
      </c>
      <c r="AF3" s="10">
        <f>IF(OR($C3="",$D3=""),"",IF(AND(DATE($B$1,1,1)+(28-1)*7&lt;=$D3,DATE($B$1,1,1)+28*7-1&gt;=$C3),1,""))</f>
        <v/>
      </c>
      <c r="AG3" s="10">
        <f>IF(OR($C3="",$D3=""),"",IF(AND(DATE($B$1,1,1)+(29-1)*7&lt;=$D3,DATE($B$1,1,1)+29*7-1&gt;=$C3),1,""))</f>
        <v/>
      </c>
      <c r="AH3" s="10">
        <f>IF(OR($C3="",$D3=""),"",IF(AND(DATE($B$1,1,1)+(30-1)*7&lt;=$D3,DATE($B$1,1,1)+30*7-1&gt;=$C3),1,""))</f>
        <v/>
      </c>
      <c r="AI3" s="10">
        <f>IF(OR($C3="",$D3=""),"",IF(AND(DATE($B$1,1,1)+(31-1)*7&lt;=$D3,DATE($B$1,1,1)+31*7-1&gt;=$C3),1,""))</f>
        <v/>
      </c>
      <c r="AJ3" s="10">
        <f>IF(OR($C3="",$D3=""),"",IF(AND(DATE($B$1,1,1)+(32-1)*7&lt;=$D3,DATE($B$1,1,1)+32*7-1&gt;=$C3),1,""))</f>
        <v/>
      </c>
      <c r="AK3" s="10">
        <f>IF(OR($C3="",$D3=""),"",IF(AND(DATE($B$1,1,1)+(33-1)*7&lt;=$D3,DATE($B$1,1,1)+33*7-1&gt;=$C3),1,""))</f>
        <v/>
      </c>
      <c r="AL3" s="10">
        <f>IF(OR($C3="",$D3=""),"",IF(AND(DATE($B$1,1,1)+(34-1)*7&lt;=$D3,DATE($B$1,1,1)+34*7-1&gt;=$C3),1,""))</f>
        <v/>
      </c>
      <c r="AM3" s="10">
        <f>IF(OR($C3="",$D3=""),"",IF(AND(DATE($B$1,1,1)+(35-1)*7&lt;=$D3,DATE($B$1,1,1)+35*7-1&gt;=$C3),1,""))</f>
        <v/>
      </c>
      <c r="AN3" s="10">
        <f>IF(OR($C3="",$D3=""),"",IF(AND(DATE($B$1,1,1)+(36-1)*7&lt;=$D3,DATE($B$1,1,1)+36*7-1&gt;=$C3),1,""))</f>
        <v/>
      </c>
      <c r="AO3" s="10">
        <f>IF(OR($C3="",$D3=""),"",IF(AND(DATE($B$1,1,1)+(37-1)*7&lt;=$D3,DATE($B$1,1,1)+37*7-1&gt;=$C3),1,""))</f>
        <v/>
      </c>
      <c r="AP3" s="10">
        <f>IF(OR($C3="",$D3=""),"",IF(AND(DATE($B$1,1,1)+(38-1)*7&lt;=$D3,DATE($B$1,1,1)+38*7-1&gt;=$C3),1,""))</f>
        <v/>
      </c>
      <c r="AQ3" s="10">
        <f>IF(OR($C3="",$D3=""),"",IF(AND(DATE($B$1,1,1)+(39-1)*7&lt;=$D3,DATE($B$1,1,1)+39*7-1&gt;=$C3),1,""))</f>
        <v/>
      </c>
      <c r="AR3" s="10">
        <f>IF(OR($C3="",$D3=""),"",IF(AND(DATE($B$1,1,1)+(40-1)*7&lt;=$D3,DATE($B$1,1,1)+40*7-1&gt;=$C3),1,""))</f>
        <v/>
      </c>
      <c r="AS3" s="10">
        <f>IF(OR($C3="",$D3=""),"",IF(AND(DATE($B$1,1,1)+(41-1)*7&lt;=$D3,DATE($B$1,1,1)+41*7-1&gt;=$C3),1,""))</f>
        <v/>
      </c>
      <c r="AT3" s="10">
        <f>IF(OR($C3="",$D3=""),"",IF(AND(DATE($B$1,1,1)+(42-1)*7&lt;=$D3,DATE($B$1,1,1)+42*7-1&gt;=$C3),1,""))</f>
        <v/>
      </c>
      <c r="AU3" s="10">
        <f>IF(OR($C3="",$D3=""),"",IF(AND(DATE($B$1,1,1)+(43-1)*7&lt;=$D3,DATE($B$1,1,1)+43*7-1&gt;=$C3),1,""))</f>
        <v/>
      </c>
      <c r="AV3" s="10">
        <f>IF(OR($C3="",$D3=""),"",IF(AND(DATE($B$1,1,1)+(44-1)*7&lt;=$D3,DATE($B$1,1,1)+44*7-1&gt;=$C3),1,""))</f>
        <v/>
      </c>
      <c r="AW3" s="10">
        <f>IF(OR($C3="",$D3=""),"",IF(AND(DATE($B$1,1,1)+(45-1)*7&lt;=$D3,DATE($B$1,1,1)+45*7-1&gt;=$C3),1,""))</f>
        <v/>
      </c>
      <c r="AX3" s="10">
        <f>IF(OR($C3="",$D3=""),"",IF(AND(DATE($B$1,1,1)+(46-1)*7&lt;=$D3,DATE($B$1,1,1)+46*7-1&gt;=$C3),1,""))</f>
        <v/>
      </c>
      <c r="AY3" s="10">
        <f>IF(OR($C3="",$D3=""),"",IF(AND(DATE($B$1,1,1)+(47-1)*7&lt;=$D3,DATE($B$1,1,1)+47*7-1&gt;=$C3),1,""))</f>
        <v/>
      </c>
      <c r="AZ3" s="10">
        <f>IF(OR($C3="",$D3=""),"",IF(AND(DATE($B$1,1,1)+(48-1)*7&lt;=$D3,DATE($B$1,1,1)+48*7-1&gt;=$C3),1,""))</f>
        <v/>
      </c>
      <c r="BA3" s="10">
        <f>IF(OR($C3="",$D3=""),"",IF(AND(DATE($B$1,1,1)+(49-1)*7&lt;=$D3,DATE($B$1,1,1)+49*7-1&gt;=$C3),1,""))</f>
        <v/>
      </c>
      <c r="BB3" s="10">
        <f>IF(OR($C3="",$D3=""),"",IF(AND(DATE($B$1,1,1)+(50-1)*7&lt;=$D3,DATE($B$1,1,1)+50*7-1&gt;=$C3),1,""))</f>
        <v/>
      </c>
      <c r="BC3" s="10">
        <f>IF(OR($C3="",$D3=""),"",IF(AND(DATE($B$1,1,1)+(51-1)*7&lt;=$D3,DATE($B$1,1,1)+51*7-1&gt;=$C3),1,""))</f>
        <v/>
      </c>
      <c r="BD3" s="10">
        <f>IF(OR($C3="",$D3=""),"",IF(AND(DATE($B$1,1,1)+(52-1)*7&lt;=$D3,DATE($B$1,1,1)+52*7-1&gt;=$C3),1,""))</f>
        <v/>
      </c>
      <c r="BE3" s="10">
        <f>IF(OR($C3="",$D3=""),"",IF(AND(DATE($B$1,1,1)+(53-1)*7&lt;=$D3,DATE($B$1,1,1)+53*7-1&gt;=$C3),1,""))</f>
        <v/>
      </c>
      <c r="BF3" s="10">
        <f>IF(OR($C3="",$D3=""),"",IF(AND(DATE($B$1,1,1)+(54-1)*7&lt;=$D3,DATE($B$1,1,1)+54*7-1&gt;=$C3),1,""))</f>
        <v/>
      </c>
    </row>
    <row r="4">
      <c r="A4" s="6" t="inlineStr">
        <is>
          <t>ARS-2026-001-D</t>
        </is>
      </c>
      <c r="B4" s="6" t="inlineStr">
        <is>
          <t>Satın Alma</t>
        </is>
      </c>
      <c r="C4" s="11" t="n">
        <v>46204</v>
      </c>
      <c r="D4" s="11" t="n">
        <v>46280</v>
      </c>
      <c r="E4" s="10">
        <f>IF(OR($C4="",$D4=""),"",IF(AND(DATE($B$1,1,1)+(1-1)*7&lt;=$D4,DATE($B$1,1,1)+1*7-1&gt;=$C4),1,""))</f>
        <v/>
      </c>
      <c r="F4" s="10">
        <f>IF(OR($C4="",$D4=""),"",IF(AND(DATE($B$1,1,1)+(2-1)*7&lt;=$D4,DATE($B$1,1,1)+2*7-1&gt;=$C4),1,""))</f>
        <v/>
      </c>
      <c r="G4" s="10">
        <f>IF(OR($C4="",$D4=""),"",IF(AND(DATE($B$1,1,1)+(3-1)*7&lt;=$D4,DATE($B$1,1,1)+3*7-1&gt;=$C4),1,""))</f>
        <v/>
      </c>
      <c r="H4" s="10">
        <f>IF(OR($C4="",$D4=""),"",IF(AND(DATE($B$1,1,1)+(4-1)*7&lt;=$D4,DATE($B$1,1,1)+4*7-1&gt;=$C4),1,""))</f>
        <v/>
      </c>
      <c r="I4" s="10">
        <f>IF(OR($C4="",$D4=""),"",IF(AND(DATE($B$1,1,1)+(5-1)*7&lt;=$D4,DATE($B$1,1,1)+5*7-1&gt;=$C4),1,""))</f>
        <v/>
      </c>
      <c r="J4" s="10">
        <f>IF(OR($C4="",$D4=""),"",IF(AND(DATE($B$1,1,1)+(6-1)*7&lt;=$D4,DATE($B$1,1,1)+6*7-1&gt;=$C4),1,""))</f>
        <v/>
      </c>
      <c r="K4" s="10">
        <f>IF(OR($C4="",$D4=""),"",IF(AND(DATE($B$1,1,1)+(7-1)*7&lt;=$D4,DATE($B$1,1,1)+7*7-1&gt;=$C4),1,""))</f>
        <v/>
      </c>
      <c r="L4" s="10">
        <f>IF(OR($C4="",$D4=""),"",IF(AND(DATE($B$1,1,1)+(8-1)*7&lt;=$D4,DATE($B$1,1,1)+8*7-1&gt;=$C4),1,""))</f>
        <v/>
      </c>
      <c r="M4" s="10">
        <f>IF(OR($C4="",$D4=""),"",IF(AND(DATE($B$1,1,1)+(9-1)*7&lt;=$D4,DATE($B$1,1,1)+9*7-1&gt;=$C4),1,""))</f>
        <v/>
      </c>
      <c r="N4" s="10">
        <f>IF(OR($C4="",$D4=""),"",IF(AND(DATE($B$1,1,1)+(10-1)*7&lt;=$D4,DATE($B$1,1,1)+10*7-1&gt;=$C4),1,""))</f>
        <v/>
      </c>
      <c r="O4" s="10">
        <f>IF(OR($C4="",$D4=""),"",IF(AND(DATE($B$1,1,1)+(11-1)*7&lt;=$D4,DATE($B$1,1,1)+11*7-1&gt;=$C4),1,""))</f>
        <v/>
      </c>
      <c r="P4" s="10">
        <f>IF(OR($C4="",$D4=""),"",IF(AND(DATE($B$1,1,1)+(12-1)*7&lt;=$D4,DATE($B$1,1,1)+12*7-1&gt;=$C4),1,""))</f>
        <v/>
      </c>
      <c r="Q4" s="10">
        <f>IF(OR($C4="",$D4=""),"",IF(AND(DATE($B$1,1,1)+(13-1)*7&lt;=$D4,DATE($B$1,1,1)+13*7-1&gt;=$C4),1,""))</f>
        <v/>
      </c>
      <c r="R4" s="10">
        <f>IF(OR($C4="",$D4=""),"",IF(AND(DATE($B$1,1,1)+(14-1)*7&lt;=$D4,DATE($B$1,1,1)+14*7-1&gt;=$C4),1,""))</f>
        <v/>
      </c>
      <c r="S4" s="10">
        <f>IF(OR($C4="",$D4=""),"",IF(AND(DATE($B$1,1,1)+(15-1)*7&lt;=$D4,DATE($B$1,1,1)+15*7-1&gt;=$C4),1,""))</f>
        <v/>
      </c>
      <c r="T4" s="10">
        <f>IF(OR($C4="",$D4=""),"",IF(AND(DATE($B$1,1,1)+(16-1)*7&lt;=$D4,DATE($B$1,1,1)+16*7-1&gt;=$C4),1,""))</f>
        <v/>
      </c>
      <c r="U4" s="10">
        <f>IF(OR($C4="",$D4=""),"",IF(AND(DATE($B$1,1,1)+(17-1)*7&lt;=$D4,DATE($B$1,1,1)+17*7-1&gt;=$C4),1,""))</f>
        <v/>
      </c>
      <c r="V4" s="10">
        <f>IF(OR($C4="",$D4=""),"",IF(AND(DATE($B$1,1,1)+(18-1)*7&lt;=$D4,DATE($B$1,1,1)+18*7-1&gt;=$C4),1,""))</f>
        <v/>
      </c>
      <c r="W4" s="10">
        <f>IF(OR($C4="",$D4=""),"",IF(AND(DATE($B$1,1,1)+(19-1)*7&lt;=$D4,DATE($B$1,1,1)+19*7-1&gt;=$C4),1,""))</f>
        <v/>
      </c>
      <c r="X4" s="10">
        <f>IF(OR($C4="",$D4=""),"",IF(AND(DATE($B$1,1,1)+(20-1)*7&lt;=$D4,DATE($B$1,1,1)+20*7-1&gt;=$C4),1,""))</f>
        <v/>
      </c>
      <c r="Y4" s="10">
        <f>IF(OR($C4="",$D4=""),"",IF(AND(DATE($B$1,1,1)+(21-1)*7&lt;=$D4,DATE($B$1,1,1)+21*7-1&gt;=$C4),1,""))</f>
        <v/>
      </c>
      <c r="Z4" s="10">
        <f>IF(OR($C4="",$D4=""),"",IF(AND(DATE($B$1,1,1)+(22-1)*7&lt;=$D4,DATE($B$1,1,1)+22*7-1&gt;=$C4),1,""))</f>
        <v/>
      </c>
      <c r="AA4" s="10">
        <f>IF(OR($C4="",$D4=""),"",IF(AND(DATE($B$1,1,1)+(23-1)*7&lt;=$D4,DATE($B$1,1,1)+23*7-1&gt;=$C4),1,""))</f>
        <v/>
      </c>
      <c r="AB4" s="10">
        <f>IF(OR($C4="",$D4=""),"",IF(AND(DATE($B$1,1,1)+(24-1)*7&lt;=$D4,DATE($B$1,1,1)+24*7-1&gt;=$C4),1,""))</f>
        <v/>
      </c>
      <c r="AC4" s="10">
        <f>IF(OR($C4="",$D4=""),"",IF(AND(DATE($B$1,1,1)+(25-1)*7&lt;=$D4,DATE($B$1,1,1)+25*7-1&gt;=$C4),1,""))</f>
        <v/>
      </c>
      <c r="AD4" s="10">
        <f>IF(OR($C4="",$D4=""),"",IF(AND(DATE($B$1,1,1)+(26-1)*7&lt;=$D4,DATE($B$1,1,1)+26*7-1&gt;=$C4),1,""))</f>
        <v/>
      </c>
      <c r="AE4" s="10">
        <f>IF(OR($C4="",$D4=""),"",IF(AND(DATE($B$1,1,1)+(27-1)*7&lt;=$D4,DATE($B$1,1,1)+27*7-1&gt;=$C4),1,""))</f>
        <v/>
      </c>
      <c r="AF4" s="10">
        <f>IF(OR($C4="",$D4=""),"",IF(AND(DATE($B$1,1,1)+(28-1)*7&lt;=$D4,DATE($B$1,1,1)+28*7-1&gt;=$C4),1,""))</f>
        <v/>
      </c>
      <c r="AG4" s="10">
        <f>IF(OR($C4="",$D4=""),"",IF(AND(DATE($B$1,1,1)+(29-1)*7&lt;=$D4,DATE($B$1,1,1)+29*7-1&gt;=$C4),1,""))</f>
        <v/>
      </c>
      <c r="AH4" s="10">
        <f>IF(OR($C4="",$D4=""),"",IF(AND(DATE($B$1,1,1)+(30-1)*7&lt;=$D4,DATE($B$1,1,1)+30*7-1&gt;=$C4),1,""))</f>
        <v/>
      </c>
      <c r="AI4" s="10">
        <f>IF(OR($C4="",$D4=""),"",IF(AND(DATE($B$1,1,1)+(31-1)*7&lt;=$D4,DATE($B$1,1,1)+31*7-1&gt;=$C4),1,""))</f>
        <v/>
      </c>
      <c r="AJ4" s="10">
        <f>IF(OR($C4="",$D4=""),"",IF(AND(DATE($B$1,1,1)+(32-1)*7&lt;=$D4,DATE($B$1,1,1)+32*7-1&gt;=$C4),1,""))</f>
        <v/>
      </c>
      <c r="AK4" s="10">
        <f>IF(OR($C4="",$D4=""),"",IF(AND(DATE($B$1,1,1)+(33-1)*7&lt;=$D4,DATE($B$1,1,1)+33*7-1&gt;=$C4),1,""))</f>
        <v/>
      </c>
      <c r="AL4" s="10">
        <f>IF(OR($C4="",$D4=""),"",IF(AND(DATE($B$1,1,1)+(34-1)*7&lt;=$D4,DATE($B$1,1,1)+34*7-1&gt;=$C4),1,""))</f>
        <v/>
      </c>
      <c r="AM4" s="10">
        <f>IF(OR($C4="",$D4=""),"",IF(AND(DATE($B$1,1,1)+(35-1)*7&lt;=$D4,DATE($B$1,1,1)+35*7-1&gt;=$C4),1,""))</f>
        <v/>
      </c>
      <c r="AN4" s="10">
        <f>IF(OR($C4="",$D4=""),"",IF(AND(DATE($B$1,1,1)+(36-1)*7&lt;=$D4,DATE($B$1,1,1)+36*7-1&gt;=$C4),1,""))</f>
        <v/>
      </c>
      <c r="AO4" s="10">
        <f>IF(OR($C4="",$D4=""),"",IF(AND(DATE($B$1,1,1)+(37-1)*7&lt;=$D4,DATE($B$1,1,1)+37*7-1&gt;=$C4),1,""))</f>
        <v/>
      </c>
      <c r="AP4" s="10">
        <f>IF(OR($C4="",$D4=""),"",IF(AND(DATE($B$1,1,1)+(38-1)*7&lt;=$D4,DATE($B$1,1,1)+38*7-1&gt;=$C4),1,""))</f>
        <v/>
      </c>
      <c r="AQ4" s="10">
        <f>IF(OR($C4="",$D4=""),"",IF(AND(DATE($B$1,1,1)+(39-1)*7&lt;=$D4,DATE($B$1,1,1)+39*7-1&gt;=$C4),1,""))</f>
        <v/>
      </c>
      <c r="AR4" s="10">
        <f>IF(OR($C4="",$D4=""),"",IF(AND(DATE($B$1,1,1)+(40-1)*7&lt;=$D4,DATE($B$1,1,1)+40*7-1&gt;=$C4),1,""))</f>
        <v/>
      </c>
      <c r="AS4" s="10">
        <f>IF(OR($C4="",$D4=""),"",IF(AND(DATE($B$1,1,1)+(41-1)*7&lt;=$D4,DATE($B$1,1,1)+41*7-1&gt;=$C4),1,""))</f>
        <v/>
      </c>
      <c r="AT4" s="10">
        <f>IF(OR($C4="",$D4=""),"",IF(AND(DATE($B$1,1,1)+(42-1)*7&lt;=$D4,DATE($B$1,1,1)+42*7-1&gt;=$C4),1,""))</f>
        <v/>
      </c>
      <c r="AU4" s="10">
        <f>IF(OR($C4="",$D4=""),"",IF(AND(DATE($B$1,1,1)+(43-1)*7&lt;=$D4,DATE($B$1,1,1)+43*7-1&gt;=$C4),1,""))</f>
        <v/>
      </c>
      <c r="AV4" s="10">
        <f>IF(OR($C4="",$D4=""),"",IF(AND(DATE($B$1,1,1)+(44-1)*7&lt;=$D4,DATE($B$1,1,1)+44*7-1&gt;=$C4),1,""))</f>
        <v/>
      </c>
      <c r="AW4" s="10">
        <f>IF(OR($C4="",$D4=""),"",IF(AND(DATE($B$1,1,1)+(45-1)*7&lt;=$D4,DATE($B$1,1,1)+45*7-1&gt;=$C4),1,""))</f>
        <v/>
      </c>
      <c r="AX4" s="10">
        <f>IF(OR($C4="",$D4=""),"",IF(AND(DATE($B$1,1,1)+(46-1)*7&lt;=$D4,DATE($B$1,1,1)+46*7-1&gt;=$C4),1,""))</f>
        <v/>
      </c>
      <c r="AY4" s="10">
        <f>IF(OR($C4="",$D4=""),"",IF(AND(DATE($B$1,1,1)+(47-1)*7&lt;=$D4,DATE($B$1,1,1)+47*7-1&gt;=$C4),1,""))</f>
        <v/>
      </c>
      <c r="AZ4" s="10">
        <f>IF(OR($C4="",$D4=""),"",IF(AND(DATE($B$1,1,1)+(48-1)*7&lt;=$D4,DATE($B$1,1,1)+48*7-1&gt;=$C4),1,""))</f>
        <v/>
      </c>
      <c r="BA4" s="10">
        <f>IF(OR($C4="",$D4=""),"",IF(AND(DATE($B$1,1,1)+(49-1)*7&lt;=$D4,DATE($B$1,1,1)+49*7-1&gt;=$C4),1,""))</f>
        <v/>
      </c>
      <c r="BB4" s="10">
        <f>IF(OR($C4="",$D4=""),"",IF(AND(DATE($B$1,1,1)+(50-1)*7&lt;=$D4,DATE($B$1,1,1)+50*7-1&gt;=$C4),1,""))</f>
        <v/>
      </c>
      <c r="BC4" s="10">
        <f>IF(OR($C4="",$D4=""),"",IF(AND(DATE($B$1,1,1)+(51-1)*7&lt;=$D4,DATE($B$1,1,1)+51*7-1&gt;=$C4),1,""))</f>
        <v/>
      </c>
      <c r="BD4" s="10">
        <f>IF(OR($C4="",$D4=""),"",IF(AND(DATE($B$1,1,1)+(52-1)*7&lt;=$D4,DATE($B$1,1,1)+52*7-1&gt;=$C4),1,""))</f>
        <v/>
      </c>
      <c r="BE4" s="10">
        <f>IF(OR($C4="",$D4=""),"",IF(AND(DATE($B$1,1,1)+(53-1)*7&lt;=$D4,DATE($B$1,1,1)+53*7-1&gt;=$C4),1,""))</f>
        <v/>
      </c>
      <c r="BF4" s="10">
        <f>IF(OR($C4="",$D4=""),"",IF(AND(DATE($B$1,1,1)+(54-1)*7&lt;=$D4,DATE($B$1,1,1)+54*7-1&gt;=$C4),1,""))</f>
        <v/>
      </c>
    </row>
    <row r="5">
      <c r="A5" s="6" t="n"/>
      <c r="B5" s="6" t="n"/>
      <c r="C5" s="11" t="n"/>
      <c r="D5" s="11" t="n"/>
      <c r="E5" s="10">
        <f>IF(OR($C5="",$D5=""),"",IF(AND(DATE($B$1,1,1)+(1-1)*7&lt;=$D5,DATE($B$1,1,1)+1*7-1&gt;=$C5),1,""))</f>
        <v/>
      </c>
      <c r="F5" s="10">
        <f>IF(OR($C5="",$D5=""),"",IF(AND(DATE($B$1,1,1)+(2-1)*7&lt;=$D5,DATE($B$1,1,1)+2*7-1&gt;=$C5),1,""))</f>
        <v/>
      </c>
      <c r="G5" s="10">
        <f>IF(OR($C5="",$D5=""),"",IF(AND(DATE($B$1,1,1)+(3-1)*7&lt;=$D5,DATE($B$1,1,1)+3*7-1&gt;=$C5),1,""))</f>
        <v/>
      </c>
      <c r="H5" s="10">
        <f>IF(OR($C5="",$D5=""),"",IF(AND(DATE($B$1,1,1)+(4-1)*7&lt;=$D5,DATE($B$1,1,1)+4*7-1&gt;=$C5),1,""))</f>
        <v/>
      </c>
      <c r="I5" s="10">
        <f>IF(OR($C5="",$D5=""),"",IF(AND(DATE($B$1,1,1)+(5-1)*7&lt;=$D5,DATE($B$1,1,1)+5*7-1&gt;=$C5),1,""))</f>
        <v/>
      </c>
      <c r="J5" s="10">
        <f>IF(OR($C5="",$D5=""),"",IF(AND(DATE($B$1,1,1)+(6-1)*7&lt;=$D5,DATE($B$1,1,1)+6*7-1&gt;=$C5),1,""))</f>
        <v/>
      </c>
      <c r="K5" s="10">
        <f>IF(OR($C5="",$D5=""),"",IF(AND(DATE($B$1,1,1)+(7-1)*7&lt;=$D5,DATE($B$1,1,1)+7*7-1&gt;=$C5),1,""))</f>
        <v/>
      </c>
      <c r="L5" s="10">
        <f>IF(OR($C5="",$D5=""),"",IF(AND(DATE($B$1,1,1)+(8-1)*7&lt;=$D5,DATE($B$1,1,1)+8*7-1&gt;=$C5),1,""))</f>
        <v/>
      </c>
      <c r="M5" s="10">
        <f>IF(OR($C5="",$D5=""),"",IF(AND(DATE($B$1,1,1)+(9-1)*7&lt;=$D5,DATE($B$1,1,1)+9*7-1&gt;=$C5),1,""))</f>
        <v/>
      </c>
      <c r="N5" s="10">
        <f>IF(OR($C5="",$D5=""),"",IF(AND(DATE($B$1,1,1)+(10-1)*7&lt;=$D5,DATE($B$1,1,1)+10*7-1&gt;=$C5),1,""))</f>
        <v/>
      </c>
      <c r="O5" s="10">
        <f>IF(OR($C5="",$D5=""),"",IF(AND(DATE($B$1,1,1)+(11-1)*7&lt;=$D5,DATE($B$1,1,1)+11*7-1&gt;=$C5),1,""))</f>
        <v/>
      </c>
      <c r="P5" s="10">
        <f>IF(OR($C5="",$D5=""),"",IF(AND(DATE($B$1,1,1)+(12-1)*7&lt;=$D5,DATE($B$1,1,1)+12*7-1&gt;=$C5),1,""))</f>
        <v/>
      </c>
      <c r="Q5" s="10">
        <f>IF(OR($C5="",$D5=""),"",IF(AND(DATE($B$1,1,1)+(13-1)*7&lt;=$D5,DATE($B$1,1,1)+13*7-1&gt;=$C5),1,""))</f>
        <v/>
      </c>
      <c r="R5" s="10">
        <f>IF(OR($C5="",$D5=""),"",IF(AND(DATE($B$1,1,1)+(14-1)*7&lt;=$D5,DATE($B$1,1,1)+14*7-1&gt;=$C5),1,""))</f>
        <v/>
      </c>
      <c r="S5" s="10">
        <f>IF(OR($C5="",$D5=""),"",IF(AND(DATE($B$1,1,1)+(15-1)*7&lt;=$D5,DATE($B$1,1,1)+15*7-1&gt;=$C5),1,""))</f>
        <v/>
      </c>
      <c r="T5" s="10">
        <f>IF(OR($C5="",$D5=""),"",IF(AND(DATE($B$1,1,1)+(16-1)*7&lt;=$D5,DATE($B$1,1,1)+16*7-1&gt;=$C5),1,""))</f>
        <v/>
      </c>
      <c r="U5" s="10">
        <f>IF(OR($C5="",$D5=""),"",IF(AND(DATE($B$1,1,1)+(17-1)*7&lt;=$D5,DATE($B$1,1,1)+17*7-1&gt;=$C5),1,""))</f>
        <v/>
      </c>
      <c r="V5" s="10">
        <f>IF(OR($C5="",$D5=""),"",IF(AND(DATE($B$1,1,1)+(18-1)*7&lt;=$D5,DATE($B$1,1,1)+18*7-1&gt;=$C5),1,""))</f>
        <v/>
      </c>
      <c r="W5" s="10">
        <f>IF(OR($C5="",$D5=""),"",IF(AND(DATE($B$1,1,1)+(19-1)*7&lt;=$D5,DATE($B$1,1,1)+19*7-1&gt;=$C5),1,""))</f>
        <v/>
      </c>
      <c r="X5" s="10">
        <f>IF(OR($C5="",$D5=""),"",IF(AND(DATE($B$1,1,1)+(20-1)*7&lt;=$D5,DATE($B$1,1,1)+20*7-1&gt;=$C5),1,""))</f>
        <v/>
      </c>
      <c r="Y5" s="10">
        <f>IF(OR($C5="",$D5=""),"",IF(AND(DATE($B$1,1,1)+(21-1)*7&lt;=$D5,DATE($B$1,1,1)+21*7-1&gt;=$C5),1,""))</f>
        <v/>
      </c>
      <c r="Z5" s="10">
        <f>IF(OR($C5="",$D5=""),"",IF(AND(DATE($B$1,1,1)+(22-1)*7&lt;=$D5,DATE($B$1,1,1)+22*7-1&gt;=$C5),1,""))</f>
        <v/>
      </c>
      <c r="AA5" s="10">
        <f>IF(OR($C5="",$D5=""),"",IF(AND(DATE($B$1,1,1)+(23-1)*7&lt;=$D5,DATE($B$1,1,1)+23*7-1&gt;=$C5),1,""))</f>
        <v/>
      </c>
      <c r="AB5" s="10">
        <f>IF(OR($C5="",$D5=""),"",IF(AND(DATE($B$1,1,1)+(24-1)*7&lt;=$D5,DATE($B$1,1,1)+24*7-1&gt;=$C5),1,""))</f>
        <v/>
      </c>
      <c r="AC5" s="10">
        <f>IF(OR($C5="",$D5=""),"",IF(AND(DATE($B$1,1,1)+(25-1)*7&lt;=$D5,DATE($B$1,1,1)+25*7-1&gt;=$C5),1,""))</f>
        <v/>
      </c>
      <c r="AD5" s="10">
        <f>IF(OR($C5="",$D5=""),"",IF(AND(DATE($B$1,1,1)+(26-1)*7&lt;=$D5,DATE($B$1,1,1)+26*7-1&gt;=$C5),1,""))</f>
        <v/>
      </c>
      <c r="AE5" s="10">
        <f>IF(OR($C5="",$D5=""),"",IF(AND(DATE($B$1,1,1)+(27-1)*7&lt;=$D5,DATE($B$1,1,1)+27*7-1&gt;=$C5),1,""))</f>
        <v/>
      </c>
      <c r="AF5" s="10">
        <f>IF(OR($C5="",$D5=""),"",IF(AND(DATE($B$1,1,1)+(28-1)*7&lt;=$D5,DATE($B$1,1,1)+28*7-1&gt;=$C5),1,""))</f>
        <v/>
      </c>
      <c r="AG5" s="10">
        <f>IF(OR($C5="",$D5=""),"",IF(AND(DATE($B$1,1,1)+(29-1)*7&lt;=$D5,DATE($B$1,1,1)+29*7-1&gt;=$C5),1,""))</f>
        <v/>
      </c>
      <c r="AH5" s="10">
        <f>IF(OR($C5="",$D5=""),"",IF(AND(DATE($B$1,1,1)+(30-1)*7&lt;=$D5,DATE($B$1,1,1)+30*7-1&gt;=$C5),1,""))</f>
        <v/>
      </c>
      <c r="AI5" s="10">
        <f>IF(OR($C5="",$D5=""),"",IF(AND(DATE($B$1,1,1)+(31-1)*7&lt;=$D5,DATE($B$1,1,1)+31*7-1&gt;=$C5),1,""))</f>
        <v/>
      </c>
      <c r="AJ5" s="10">
        <f>IF(OR($C5="",$D5=""),"",IF(AND(DATE($B$1,1,1)+(32-1)*7&lt;=$D5,DATE($B$1,1,1)+32*7-1&gt;=$C5),1,""))</f>
        <v/>
      </c>
      <c r="AK5" s="10">
        <f>IF(OR($C5="",$D5=""),"",IF(AND(DATE($B$1,1,1)+(33-1)*7&lt;=$D5,DATE($B$1,1,1)+33*7-1&gt;=$C5),1,""))</f>
        <v/>
      </c>
      <c r="AL5" s="10">
        <f>IF(OR($C5="",$D5=""),"",IF(AND(DATE($B$1,1,1)+(34-1)*7&lt;=$D5,DATE($B$1,1,1)+34*7-1&gt;=$C5),1,""))</f>
        <v/>
      </c>
      <c r="AM5" s="10">
        <f>IF(OR($C5="",$D5=""),"",IF(AND(DATE($B$1,1,1)+(35-1)*7&lt;=$D5,DATE($B$1,1,1)+35*7-1&gt;=$C5),1,""))</f>
        <v/>
      </c>
      <c r="AN5" s="10">
        <f>IF(OR($C5="",$D5=""),"",IF(AND(DATE($B$1,1,1)+(36-1)*7&lt;=$D5,DATE($B$1,1,1)+36*7-1&gt;=$C5),1,""))</f>
        <v/>
      </c>
      <c r="AO5" s="10">
        <f>IF(OR($C5="",$D5=""),"",IF(AND(DATE($B$1,1,1)+(37-1)*7&lt;=$D5,DATE($B$1,1,1)+37*7-1&gt;=$C5),1,""))</f>
        <v/>
      </c>
      <c r="AP5" s="10">
        <f>IF(OR($C5="",$D5=""),"",IF(AND(DATE($B$1,1,1)+(38-1)*7&lt;=$D5,DATE($B$1,1,1)+38*7-1&gt;=$C5),1,""))</f>
        <v/>
      </c>
      <c r="AQ5" s="10">
        <f>IF(OR($C5="",$D5=""),"",IF(AND(DATE($B$1,1,1)+(39-1)*7&lt;=$D5,DATE($B$1,1,1)+39*7-1&gt;=$C5),1,""))</f>
        <v/>
      </c>
      <c r="AR5" s="10">
        <f>IF(OR($C5="",$D5=""),"",IF(AND(DATE($B$1,1,1)+(40-1)*7&lt;=$D5,DATE($B$1,1,1)+40*7-1&gt;=$C5),1,""))</f>
        <v/>
      </c>
      <c r="AS5" s="10">
        <f>IF(OR($C5="",$D5=""),"",IF(AND(DATE($B$1,1,1)+(41-1)*7&lt;=$D5,DATE($B$1,1,1)+41*7-1&gt;=$C5),1,""))</f>
        <v/>
      </c>
      <c r="AT5" s="10">
        <f>IF(OR($C5="",$D5=""),"",IF(AND(DATE($B$1,1,1)+(42-1)*7&lt;=$D5,DATE($B$1,1,1)+42*7-1&gt;=$C5),1,""))</f>
        <v/>
      </c>
      <c r="AU5" s="10">
        <f>IF(OR($C5="",$D5=""),"",IF(AND(DATE($B$1,1,1)+(43-1)*7&lt;=$D5,DATE($B$1,1,1)+43*7-1&gt;=$C5),1,""))</f>
        <v/>
      </c>
      <c r="AV5" s="10">
        <f>IF(OR($C5="",$D5=""),"",IF(AND(DATE($B$1,1,1)+(44-1)*7&lt;=$D5,DATE($B$1,1,1)+44*7-1&gt;=$C5),1,""))</f>
        <v/>
      </c>
      <c r="AW5" s="10">
        <f>IF(OR($C5="",$D5=""),"",IF(AND(DATE($B$1,1,1)+(45-1)*7&lt;=$D5,DATE($B$1,1,1)+45*7-1&gt;=$C5),1,""))</f>
        <v/>
      </c>
      <c r="AX5" s="10">
        <f>IF(OR($C5="",$D5=""),"",IF(AND(DATE($B$1,1,1)+(46-1)*7&lt;=$D5,DATE($B$1,1,1)+46*7-1&gt;=$C5),1,""))</f>
        <v/>
      </c>
      <c r="AY5" s="10">
        <f>IF(OR($C5="",$D5=""),"",IF(AND(DATE($B$1,1,1)+(47-1)*7&lt;=$D5,DATE($B$1,1,1)+47*7-1&gt;=$C5),1,""))</f>
        <v/>
      </c>
      <c r="AZ5" s="10">
        <f>IF(OR($C5="",$D5=""),"",IF(AND(DATE($B$1,1,1)+(48-1)*7&lt;=$D5,DATE($B$1,1,1)+48*7-1&gt;=$C5),1,""))</f>
        <v/>
      </c>
      <c r="BA5" s="10">
        <f>IF(OR($C5="",$D5=""),"",IF(AND(DATE($B$1,1,1)+(49-1)*7&lt;=$D5,DATE($B$1,1,1)+49*7-1&gt;=$C5),1,""))</f>
        <v/>
      </c>
      <c r="BB5" s="10">
        <f>IF(OR($C5="",$D5=""),"",IF(AND(DATE($B$1,1,1)+(50-1)*7&lt;=$D5,DATE($B$1,1,1)+50*7-1&gt;=$C5),1,""))</f>
        <v/>
      </c>
      <c r="BC5" s="10">
        <f>IF(OR($C5="",$D5=""),"",IF(AND(DATE($B$1,1,1)+(51-1)*7&lt;=$D5,DATE($B$1,1,1)+51*7-1&gt;=$C5),1,""))</f>
        <v/>
      </c>
      <c r="BD5" s="10">
        <f>IF(OR($C5="",$D5=""),"",IF(AND(DATE($B$1,1,1)+(52-1)*7&lt;=$D5,DATE($B$1,1,1)+52*7-1&gt;=$C5),1,""))</f>
        <v/>
      </c>
      <c r="BE5" s="10">
        <f>IF(OR($C5="",$D5=""),"",IF(AND(DATE($B$1,1,1)+(53-1)*7&lt;=$D5,DATE($B$1,1,1)+53*7-1&gt;=$C5),1,""))</f>
        <v/>
      </c>
      <c r="BF5" s="10">
        <f>IF(OR($C5="",$D5=""),"",IF(AND(DATE($B$1,1,1)+(54-1)*7&lt;=$D5,DATE($B$1,1,1)+54*7-1&gt;=$C5),1,""))</f>
        <v/>
      </c>
    </row>
    <row r="6">
      <c r="A6" s="6" t="n"/>
      <c r="B6" s="6" t="n"/>
      <c r="C6" s="11" t="n"/>
      <c r="D6" s="11" t="n"/>
      <c r="E6" s="10">
        <f>IF(OR($C6="",$D6=""),"",IF(AND(DATE($B$1,1,1)+(1-1)*7&lt;=$D6,DATE($B$1,1,1)+1*7-1&gt;=$C6),1,""))</f>
        <v/>
      </c>
      <c r="F6" s="10">
        <f>IF(OR($C6="",$D6=""),"",IF(AND(DATE($B$1,1,1)+(2-1)*7&lt;=$D6,DATE($B$1,1,1)+2*7-1&gt;=$C6),1,""))</f>
        <v/>
      </c>
      <c r="G6" s="10">
        <f>IF(OR($C6="",$D6=""),"",IF(AND(DATE($B$1,1,1)+(3-1)*7&lt;=$D6,DATE($B$1,1,1)+3*7-1&gt;=$C6),1,""))</f>
        <v/>
      </c>
      <c r="H6" s="10">
        <f>IF(OR($C6="",$D6=""),"",IF(AND(DATE($B$1,1,1)+(4-1)*7&lt;=$D6,DATE($B$1,1,1)+4*7-1&gt;=$C6),1,""))</f>
        <v/>
      </c>
      <c r="I6" s="10">
        <f>IF(OR($C6="",$D6=""),"",IF(AND(DATE($B$1,1,1)+(5-1)*7&lt;=$D6,DATE($B$1,1,1)+5*7-1&gt;=$C6),1,""))</f>
        <v/>
      </c>
      <c r="J6" s="10">
        <f>IF(OR($C6="",$D6=""),"",IF(AND(DATE($B$1,1,1)+(6-1)*7&lt;=$D6,DATE($B$1,1,1)+6*7-1&gt;=$C6),1,""))</f>
        <v/>
      </c>
      <c r="K6" s="10">
        <f>IF(OR($C6="",$D6=""),"",IF(AND(DATE($B$1,1,1)+(7-1)*7&lt;=$D6,DATE($B$1,1,1)+7*7-1&gt;=$C6),1,""))</f>
        <v/>
      </c>
      <c r="L6" s="10">
        <f>IF(OR($C6="",$D6=""),"",IF(AND(DATE($B$1,1,1)+(8-1)*7&lt;=$D6,DATE($B$1,1,1)+8*7-1&gt;=$C6),1,""))</f>
        <v/>
      </c>
      <c r="M6" s="10">
        <f>IF(OR($C6="",$D6=""),"",IF(AND(DATE($B$1,1,1)+(9-1)*7&lt;=$D6,DATE($B$1,1,1)+9*7-1&gt;=$C6),1,""))</f>
        <v/>
      </c>
      <c r="N6" s="10">
        <f>IF(OR($C6="",$D6=""),"",IF(AND(DATE($B$1,1,1)+(10-1)*7&lt;=$D6,DATE($B$1,1,1)+10*7-1&gt;=$C6),1,""))</f>
        <v/>
      </c>
      <c r="O6" s="10">
        <f>IF(OR($C6="",$D6=""),"",IF(AND(DATE($B$1,1,1)+(11-1)*7&lt;=$D6,DATE($B$1,1,1)+11*7-1&gt;=$C6),1,""))</f>
        <v/>
      </c>
      <c r="P6" s="10">
        <f>IF(OR($C6="",$D6=""),"",IF(AND(DATE($B$1,1,1)+(12-1)*7&lt;=$D6,DATE($B$1,1,1)+12*7-1&gt;=$C6),1,""))</f>
        <v/>
      </c>
      <c r="Q6" s="10">
        <f>IF(OR($C6="",$D6=""),"",IF(AND(DATE($B$1,1,1)+(13-1)*7&lt;=$D6,DATE($B$1,1,1)+13*7-1&gt;=$C6),1,""))</f>
        <v/>
      </c>
      <c r="R6" s="10">
        <f>IF(OR($C6="",$D6=""),"",IF(AND(DATE($B$1,1,1)+(14-1)*7&lt;=$D6,DATE($B$1,1,1)+14*7-1&gt;=$C6),1,""))</f>
        <v/>
      </c>
      <c r="S6" s="10">
        <f>IF(OR($C6="",$D6=""),"",IF(AND(DATE($B$1,1,1)+(15-1)*7&lt;=$D6,DATE($B$1,1,1)+15*7-1&gt;=$C6),1,""))</f>
        <v/>
      </c>
      <c r="T6" s="10">
        <f>IF(OR($C6="",$D6=""),"",IF(AND(DATE($B$1,1,1)+(16-1)*7&lt;=$D6,DATE($B$1,1,1)+16*7-1&gt;=$C6),1,""))</f>
        <v/>
      </c>
      <c r="U6" s="10">
        <f>IF(OR($C6="",$D6=""),"",IF(AND(DATE($B$1,1,1)+(17-1)*7&lt;=$D6,DATE($B$1,1,1)+17*7-1&gt;=$C6),1,""))</f>
        <v/>
      </c>
      <c r="V6" s="10">
        <f>IF(OR($C6="",$D6=""),"",IF(AND(DATE($B$1,1,1)+(18-1)*7&lt;=$D6,DATE($B$1,1,1)+18*7-1&gt;=$C6),1,""))</f>
        <v/>
      </c>
      <c r="W6" s="10">
        <f>IF(OR($C6="",$D6=""),"",IF(AND(DATE($B$1,1,1)+(19-1)*7&lt;=$D6,DATE($B$1,1,1)+19*7-1&gt;=$C6),1,""))</f>
        <v/>
      </c>
      <c r="X6" s="10">
        <f>IF(OR($C6="",$D6=""),"",IF(AND(DATE($B$1,1,1)+(20-1)*7&lt;=$D6,DATE($B$1,1,1)+20*7-1&gt;=$C6),1,""))</f>
        <v/>
      </c>
      <c r="Y6" s="10">
        <f>IF(OR($C6="",$D6=""),"",IF(AND(DATE($B$1,1,1)+(21-1)*7&lt;=$D6,DATE($B$1,1,1)+21*7-1&gt;=$C6),1,""))</f>
        <v/>
      </c>
      <c r="Z6" s="10">
        <f>IF(OR($C6="",$D6=""),"",IF(AND(DATE($B$1,1,1)+(22-1)*7&lt;=$D6,DATE($B$1,1,1)+22*7-1&gt;=$C6),1,""))</f>
        <v/>
      </c>
      <c r="AA6" s="10">
        <f>IF(OR($C6="",$D6=""),"",IF(AND(DATE($B$1,1,1)+(23-1)*7&lt;=$D6,DATE($B$1,1,1)+23*7-1&gt;=$C6),1,""))</f>
        <v/>
      </c>
      <c r="AB6" s="10">
        <f>IF(OR($C6="",$D6=""),"",IF(AND(DATE($B$1,1,1)+(24-1)*7&lt;=$D6,DATE($B$1,1,1)+24*7-1&gt;=$C6),1,""))</f>
        <v/>
      </c>
      <c r="AC6" s="10">
        <f>IF(OR($C6="",$D6=""),"",IF(AND(DATE($B$1,1,1)+(25-1)*7&lt;=$D6,DATE($B$1,1,1)+25*7-1&gt;=$C6),1,""))</f>
        <v/>
      </c>
      <c r="AD6" s="10">
        <f>IF(OR($C6="",$D6=""),"",IF(AND(DATE($B$1,1,1)+(26-1)*7&lt;=$D6,DATE($B$1,1,1)+26*7-1&gt;=$C6),1,""))</f>
        <v/>
      </c>
      <c r="AE6" s="10">
        <f>IF(OR($C6="",$D6=""),"",IF(AND(DATE($B$1,1,1)+(27-1)*7&lt;=$D6,DATE($B$1,1,1)+27*7-1&gt;=$C6),1,""))</f>
        <v/>
      </c>
      <c r="AF6" s="10">
        <f>IF(OR($C6="",$D6=""),"",IF(AND(DATE($B$1,1,1)+(28-1)*7&lt;=$D6,DATE($B$1,1,1)+28*7-1&gt;=$C6),1,""))</f>
        <v/>
      </c>
      <c r="AG6" s="10">
        <f>IF(OR($C6="",$D6=""),"",IF(AND(DATE($B$1,1,1)+(29-1)*7&lt;=$D6,DATE($B$1,1,1)+29*7-1&gt;=$C6),1,""))</f>
        <v/>
      </c>
      <c r="AH6" s="10">
        <f>IF(OR($C6="",$D6=""),"",IF(AND(DATE($B$1,1,1)+(30-1)*7&lt;=$D6,DATE($B$1,1,1)+30*7-1&gt;=$C6),1,""))</f>
        <v/>
      </c>
      <c r="AI6" s="10">
        <f>IF(OR($C6="",$D6=""),"",IF(AND(DATE($B$1,1,1)+(31-1)*7&lt;=$D6,DATE($B$1,1,1)+31*7-1&gt;=$C6),1,""))</f>
        <v/>
      </c>
      <c r="AJ6" s="10">
        <f>IF(OR($C6="",$D6=""),"",IF(AND(DATE($B$1,1,1)+(32-1)*7&lt;=$D6,DATE($B$1,1,1)+32*7-1&gt;=$C6),1,""))</f>
        <v/>
      </c>
      <c r="AK6" s="10">
        <f>IF(OR($C6="",$D6=""),"",IF(AND(DATE($B$1,1,1)+(33-1)*7&lt;=$D6,DATE($B$1,1,1)+33*7-1&gt;=$C6),1,""))</f>
        <v/>
      </c>
      <c r="AL6" s="10">
        <f>IF(OR($C6="",$D6=""),"",IF(AND(DATE($B$1,1,1)+(34-1)*7&lt;=$D6,DATE($B$1,1,1)+34*7-1&gt;=$C6),1,""))</f>
        <v/>
      </c>
      <c r="AM6" s="10">
        <f>IF(OR($C6="",$D6=""),"",IF(AND(DATE($B$1,1,1)+(35-1)*7&lt;=$D6,DATE($B$1,1,1)+35*7-1&gt;=$C6),1,""))</f>
        <v/>
      </c>
      <c r="AN6" s="10">
        <f>IF(OR($C6="",$D6=""),"",IF(AND(DATE($B$1,1,1)+(36-1)*7&lt;=$D6,DATE($B$1,1,1)+36*7-1&gt;=$C6),1,""))</f>
        <v/>
      </c>
      <c r="AO6" s="10">
        <f>IF(OR($C6="",$D6=""),"",IF(AND(DATE($B$1,1,1)+(37-1)*7&lt;=$D6,DATE($B$1,1,1)+37*7-1&gt;=$C6),1,""))</f>
        <v/>
      </c>
      <c r="AP6" s="10">
        <f>IF(OR($C6="",$D6=""),"",IF(AND(DATE($B$1,1,1)+(38-1)*7&lt;=$D6,DATE($B$1,1,1)+38*7-1&gt;=$C6),1,""))</f>
        <v/>
      </c>
      <c r="AQ6" s="10">
        <f>IF(OR($C6="",$D6=""),"",IF(AND(DATE($B$1,1,1)+(39-1)*7&lt;=$D6,DATE($B$1,1,1)+39*7-1&gt;=$C6),1,""))</f>
        <v/>
      </c>
      <c r="AR6" s="10">
        <f>IF(OR($C6="",$D6=""),"",IF(AND(DATE($B$1,1,1)+(40-1)*7&lt;=$D6,DATE($B$1,1,1)+40*7-1&gt;=$C6),1,""))</f>
        <v/>
      </c>
      <c r="AS6" s="10">
        <f>IF(OR($C6="",$D6=""),"",IF(AND(DATE($B$1,1,1)+(41-1)*7&lt;=$D6,DATE($B$1,1,1)+41*7-1&gt;=$C6),1,""))</f>
        <v/>
      </c>
      <c r="AT6" s="10">
        <f>IF(OR($C6="",$D6=""),"",IF(AND(DATE($B$1,1,1)+(42-1)*7&lt;=$D6,DATE($B$1,1,1)+42*7-1&gt;=$C6),1,""))</f>
        <v/>
      </c>
      <c r="AU6" s="10">
        <f>IF(OR($C6="",$D6=""),"",IF(AND(DATE($B$1,1,1)+(43-1)*7&lt;=$D6,DATE($B$1,1,1)+43*7-1&gt;=$C6),1,""))</f>
        <v/>
      </c>
      <c r="AV6" s="10">
        <f>IF(OR($C6="",$D6=""),"",IF(AND(DATE($B$1,1,1)+(44-1)*7&lt;=$D6,DATE($B$1,1,1)+44*7-1&gt;=$C6),1,""))</f>
        <v/>
      </c>
      <c r="AW6" s="10">
        <f>IF(OR($C6="",$D6=""),"",IF(AND(DATE($B$1,1,1)+(45-1)*7&lt;=$D6,DATE($B$1,1,1)+45*7-1&gt;=$C6),1,""))</f>
        <v/>
      </c>
      <c r="AX6" s="10">
        <f>IF(OR($C6="",$D6=""),"",IF(AND(DATE($B$1,1,1)+(46-1)*7&lt;=$D6,DATE($B$1,1,1)+46*7-1&gt;=$C6),1,""))</f>
        <v/>
      </c>
      <c r="AY6" s="10">
        <f>IF(OR($C6="",$D6=""),"",IF(AND(DATE($B$1,1,1)+(47-1)*7&lt;=$D6,DATE($B$1,1,1)+47*7-1&gt;=$C6),1,""))</f>
        <v/>
      </c>
      <c r="AZ6" s="10">
        <f>IF(OR($C6="",$D6=""),"",IF(AND(DATE($B$1,1,1)+(48-1)*7&lt;=$D6,DATE($B$1,1,1)+48*7-1&gt;=$C6),1,""))</f>
        <v/>
      </c>
      <c r="BA6" s="10">
        <f>IF(OR($C6="",$D6=""),"",IF(AND(DATE($B$1,1,1)+(49-1)*7&lt;=$D6,DATE($B$1,1,1)+49*7-1&gt;=$C6),1,""))</f>
        <v/>
      </c>
      <c r="BB6" s="10">
        <f>IF(OR($C6="",$D6=""),"",IF(AND(DATE($B$1,1,1)+(50-1)*7&lt;=$D6,DATE($B$1,1,1)+50*7-1&gt;=$C6),1,""))</f>
        <v/>
      </c>
      <c r="BC6" s="10">
        <f>IF(OR($C6="",$D6=""),"",IF(AND(DATE($B$1,1,1)+(51-1)*7&lt;=$D6,DATE($B$1,1,1)+51*7-1&gt;=$C6),1,""))</f>
        <v/>
      </c>
      <c r="BD6" s="10">
        <f>IF(OR($C6="",$D6=""),"",IF(AND(DATE($B$1,1,1)+(52-1)*7&lt;=$D6,DATE($B$1,1,1)+52*7-1&gt;=$C6),1,""))</f>
        <v/>
      </c>
      <c r="BE6" s="10">
        <f>IF(OR($C6="",$D6=""),"",IF(AND(DATE($B$1,1,1)+(53-1)*7&lt;=$D6,DATE($B$1,1,1)+53*7-1&gt;=$C6),1,""))</f>
        <v/>
      </c>
      <c r="BF6" s="10">
        <f>IF(OR($C6="",$D6=""),"",IF(AND(DATE($B$1,1,1)+(54-1)*7&lt;=$D6,DATE($B$1,1,1)+54*7-1&gt;=$C6),1,""))</f>
        <v/>
      </c>
    </row>
    <row r="7">
      <c r="A7" s="6" t="n"/>
      <c r="B7" s="6" t="n"/>
      <c r="C7" s="11" t="n"/>
      <c r="D7" s="11" t="n"/>
      <c r="E7" s="10">
        <f>IF(OR($C7="",$D7=""),"",IF(AND(DATE($B$1,1,1)+(1-1)*7&lt;=$D7,DATE($B$1,1,1)+1*7-1&gt;=$C7),1,""))</f>
        <v/>
      </c>
      <c r="F7" s="10">
        <f>IF(OR($C7="",$D7=""),"",IF(AND(DATE($B$1,1,1)+(2-1)*7&lt;=$D7,DATE($B$1,1,1)+2*7-1&gt;=$C7),1,""))</f>
        <v/>
      </c>
      <c r="G7" s="10">
        <f>IF(OR($C7="",$D7=""),"",IF(AND(DATE($B$1,1,1)+(3-1)*7&lt;=$D7,DATE($B$1,1,1)+3*7-1&gt;=$C7),1,""))</f>
        <v/>
      </c>
      <c r="H7" s="10">
        <f>IF(OR($C7="",$D7=""),"",IF(AND(DATE($B$1,1,1)+(4-1)*7&lt;=$D7,DATE($B$1,1,1)+4*7-1&gt;=$C7),1,""))</f>
        <v/>
      </c>
      <c r="I7" s="10">
        <f>IF(OR($C7="",$D7=""),"",IF(AND(DATE($B$1,1,1)+(5-1)*7&lt;=$D7,DATE($B$1,1,1)+5*7-1&gt;=$C7),1,""))</f>
        <v/>
      </c>
      <c r="J7" s="10">
        <f>IF(OR($C7="",$D7=""),"",IF(AND(DATE($B$1,1,1)+(6-1)*7&lt;=$D7,DATE($B$1,1,1)+6*7-1&gt;=$C7),1,""))</f>
        <v/>
      </c>
      <c r="K7" s="10">
        <f>IF(OR($C7="",$D7=""),"",IF(AND(DATE($B$1,1,1)+(7-1)*7&lt;=$D7,DATE($B$1,1,1)+7*7-1&gt;=$C7),1,""))</f>
        <v/>
      </c>
      <c r="L7" s="10">
        <f>IF(OR($C7="",$D7=""),"",IF(AND(DATE($B$1,1,1)+(8-1)*7&lt;=$D7,DATE($B$1,1,1)+8*7-1&gt;=$C7),1,""))</f>
        <v/>
      </c>
      <c r="M7" s="10">
        <f>IF(OR($C7="",$D7=""),"",IF(AND(DATE($B$1,1,1)+(9-1)*7&lt;=$D7,DATE($B$1,1,1)+9*7-1&gt;=$C7),1,""))</f>
        <v/>
      </c>
      <c r="N7" s="10">
        <f>IF(OR($C7="",$D7=""),"",IF(AND(DATE($B$1,1,1)+(10-1)*7&lt;=$D7,DATE($B$1,1,1)+10*7-1&gt;=$C7),1,""))</f>
        <v/>
      </c>
      <c r="O7" s="10">
        <f>IF(OR($C7="",$D7=""),"",IF(AND(DATE($B$1,1,1)+(11-1)*7&lt;=$D7,DATE($B$1,1,1)+11*7-1&gt;=$C7),1,""))</f>
        <v/>
      </c>
      <c r="P7" s="10">
        <f>IF(OR($C7="",$D7=""),"",IF(AND(DATE($B$1,1,1)+(12-1)*7&lt;=$D7,DATE($B$1,1,1)+12*7-1&gt;=$C7),1,""))</f>
        <v/>
      </c>
      <c r="Q7" s="10">
        <f>IF(OR($C7="",$D7=""),"",IF(AND(DATE($B$1,1,1)+(13-1)*7&lt;=$D7,DATE($B$1,1,1)+13*7-1&gt;=$C7),1,""))</f>
        <v/>
      </c>
      <c r="R7" s="10">
        <f>IF(OR($C7="",$D7=""),"",IF(AND(DATE($B$1,1,1)+(14-1)*7&lt;=$D7,DATE($B$1,1,1)+14*7-1&gt;=$C7),1,""))</f>
        <v/>
      </c>
      <c r="S7" s="10">
        <f>IF(OR($C7="",$D7=""),"",IF(AND(DATE($B$1,1,1)+(15-1)*7&lt;=$D7,DATE($B$1,1,1)+15*7-1&gt;=$C7),1,""))</f>
        <v/>
      </c>
      <c r="T7" s="10">
        <f>IF(OR($C7="",$D7=""),"",IF(AND(DATE($B$1,1,1)+(16-1)*7&lt;=$D7,DATE($B$1,1,1)+16*7-1&gt;=$C7),1,""))</f>
        <v/>
      </c>
      <c r="U7" s="10">
        <f>IF(OR($C7="",$D7=""),"",IF(AND(DATE($B$1,1,1)+(17-1)*7&lt;=$D7,DATE($B$1,1,1)+17*7-1&gt;=$C7),1,""))</f>
        <v/>
      </c>
      <c r="V7" s="10">
        <f>IF(OR($C7="",$D7=""),"",IF(AND(DATE($B$1,1,1)+(18-1)*7&lt;=$D7,DATE($B$1,1,1)+18*7-1&gt;=$C7),1,""))</f>
        <v/>
      </c>
      <c r="W7" s="10">
        <f>IF(OR($C7="",$D7=""),"",IF(AND(DATE($B$1,1,1)+(19-1)*7&lt;=$D7,DATE($B$1,1,1)+19*7-1&gt;=$C7),1,""))</f>
        <v/>
      </c>
      <c r="X7" s="10">
        <f>IF(OR($C7="",$D7=""),"",IF(AND(DATE($B$1,1,1)+(20-1)*7&lt;=$D7,DATE($B$1,1,1)+20*7-1&gt;=$C7),1,""))</f>
        <v/>
      </c>
      <c r="Y7" s="10">
        <f>IF(OR($C7="",$D7=""),"",IF(AND(DATE($B$1,1,1)+(21-1)*7&lt;=$D7,DATE($B$1,1,1)+21*7-1&gt;=$C7),1,""))</f>
        <v/>
      </c>
      <c r="Z7" s="10">
        <f>IF(OR($C7="",$D7=""),"",IF(AND(DATE($B$1,1,1)+(22-1)*7&lt;=$D7,DATE($B$1,1,1)+22*7-1&gt;=$C7),1,""))</f>
        <v/>
      </c>
      <c r="AA7" s="10">
        <f>IF(OR($C7="",$D7=""),"",IF(AND(DATE($B$1,1,1)+(23-1)*7&lt;=$D7,DATE($B$1,1,1)+23*7-1&gt;=$C7),1,""))</f>
        <v/>
      </c>
      <c r="AB7" s="10">
        <f>IF(OR($C7="",$D7=""),"",IF(AND(DATE($B$1,1,1)+(24-1)*7&lt;=$D7,DATE($B$1,1,1)+24*7-1&gt;=$C7),1,""))</f>
        <v/>
      </c>
      <c r="AC7" s="10">
        <f>IF(OR($C7="",$D7=""),"",IF(AND(DATE($B$1,1,1)+(25-1)*7&lt;=$D7,DATE($B$1,1,1)+25*7-1&gt;=$C7),1,""))</f>
        <v/>
      </c>
      <c r="AD7" s="10">
        <f>IF(OR($C7="",$D7=""),"",IF(AND(DATE($B$1,1,1)+(26-1)*7&lt;=$D7,DATE($B$1,1,1)+26*7-1&gt;=$C7),1,""))</f>
        <v/>
      </c>
      <c r="AE7" s="10">
        <f>IF(OR($C7="",$D7=""),"",IF(AND(DATE($B$1,1,1)+(27-1)*7&lt;=$D7,DATE($B$1,1,1)+27*7-1&gt;=$C7),1,""))</f>
        <v/>
      </c>
      <c r="AF7" s="10">
        <f>IF(OR($C7="",$D7=""),"",IF(AND(DATE($B$1,1,1)+(28-1)*7&lt;=$D7,DATE($B$1,1,1)+28*7-1&gt;=$C7),1,""))</f>
        <v/>
      </c>
      <c r="AG7" s="10">
        <f>IF(OR($C7="",$D7=""),"",IF(AND(DATE($B$1,1,1)+(29-1)*7&lt;=$D7,DATE($B$1,1,1)+29*7-1&gt;=$C7),1,""))</f>
        <v/>
      </c>
      <c r="AH7" s="10">
        <f>IF(OR($C7="",$D7=""),"",IF(AND(DATE($B$1,1,1)+(30-1)*7&lt;=$D7,DATE($B$1,1,1)+30*7-1&gt;=$C7),1,""))</f>
        <v/>
      </c>
      <c r="AI7" s="10">
        <f>IF(OR($C7="",$D7=""),"",IF(AND(DATE($B$1,1,1)+(31-1)*7&lt;=$D7,DATE($B$1,1,1)+31*7-1&gt;=$C7),1,""))</f>
        <v/>
      </c>
      <c r="AJ7" s="10">
        <f>IF(OR($C7="",$D7=""),"",IF(AND(DATE($B$1,1,1)+(32-1)*7&lt;=$D7,DATE($B$1,1,1)+32*7-1&gt;=$C7),1,""))</f>
        <v/>
      </c>
      <c r="AK7" s="10">
        <f>IF(OR($C7="",$D7=""),"",IF(AND(DATE($B$1,1,1)+(33-1)*7&lt;=$D7,DATE($B$1,1,1)+33*7-1&gt;=$C7),1,""))</f>
        <v/>
      </c>
      <c r="AL7" s="10">
        <f>IF(OR($C7="",$D7=""),"",IF(AND(DATE($B$1,1,1)+(34-1)*7&lt;=$D7,DATE($B$1,1,1)+34*7-1&gt;=$C7),1,""))</f>
        <v/>
      </c>
      <c r="AM7" s="10">
        <f>IF(OR($C7="",$D7=""),"",IF(AND(DATE($B$1,1,1)+(35-1)*7&lt;=$D7,DATE($B$1,1,1)+35*7-1&gt;=$C7),1,""))</f>
        <v/>
      </c>
      <c r="AN7" s="10">
        <f>IF(OR($C7="",$D7=""),"",IF(AND(DATE($B$1,1,1)+(36-1)*7&lt;=$D7,DATE($B$1,1,1)+36*7-1&gt;=$C7),1,""))</f>
        <v/>
      </c>
      <c r="AO7" s="10">
        <f>IF(OR($C7="",$D7=""),"",IF(AND(DATE($B$1,1,1)+(37-1)*7&lt;=$D7,DATE($B$1,1,1)+37*7-1&gt;=$C7),1,""))</f>
        <v/>
      </c>
      <c r="AP7" s="10">
        <f>IF(OR($C7="",$D7=""),"",IF(AND(DATE($B$1,1,1)+(38-1)*7&lt;=$D7,DATE($B$1,1,1)+38*7-1&gt;=$C7),1,""))</f>
        <v/>
      </c>
      <c r="AQ7" s="10">
        <f>IF(OR($C7="",$D7=""),"",IF(AND(DATE($B$1,1,1)+(39-1)*7&lt;=$D7,DATE($B$1,1,1)+39*7-1&gt;=$C7),1,""))</f>
        <v/>
      </c>
      <c r="AR7" s="10">
        <f>IF(OR($C7="",$D7=""),"",IF(AND(DATE($B$1,1,1)+(40-1)*7&lt;=$D7,DATE($B$1,1,1)+40*7-1&gt;=$C7),1,""))</f>
        <v/>
      </c>
      <c r="AS7" s="10">
        <f>IF(OR($C7="",$D7=""),"",IF(AND(DATE($B$1,1,1)+(41-1)*7&lt;=$D7,DATE($B$1,1,1)+41*7-1&gt;=$C7),1,""))</f>
        <v/>
      </c>
      <c r="AT7" s="10">
        <f>IF(OR($C7="",$D7=""),"",IF(AND(DATE($B$1,1,1)+(42-1)*7&lt;=$D7,DATE($B$1,1,1)+42*7-1&gt;=$C7),1,""))</f>
        <v/>
      </c>
      <c r="AU7" s="10">
        <f>IF(OR($C7="",$D7=""),"",IF(AND(DATE($B$1,1,1)+(43-1)*7&lt;=$D7,DATE($B$1,1,1)+43*7-1&gt;=$C7),1,""))</f>
        <v/>
      </c>
      <c r="AV7" s="10">
        <f>IF(OR($C7="",$D7=""),"",IF(AND(DATE($B$1,1,1)+(44-1)*7&lt;=$D7,DATE($B$1,1,1)+44*7-1&gt;=$C7),1,""))</f>
        <v/>
      </c>
      <c r="AW7" s="10">
        <f>IF(OR($C7="",$D7=""),"",IF(AND(DATE($B$1,1,1)+(45-1)*7&lt;=$D7,DATE($B$1,1,1)+45*7-1&gt;=$C7),1,""))</f>
        <v/>
      </c>
      <c r="AX7" s="10">
        <f>IF(OR($C7="",$D7=""),"",IF(AND(DATE($B$1,1,1)+(46-1)*7&lt;=$D7,DATE($B$1,1,1)+46*7-1&gt;=$C7),1,""))</f>
        <v/>
      </c>
      <c r="AY7" s="10">
        <f>IF(OR($C7="",$D7=""),"",IF(AND(DATE($B$1,1,1)+(47-1)*7&lt;=$D7,DATE($B$1,1,1)+47*7-1&gt;=$C7),1,""))</f>
        <v/>
      </c>
      <c r="AZ7" s="10">
        <f>IF(OR($C7="",$D7=""),"",IF(AND(DATE($B$1,1,1)+(48-1)*7&lt;=$D7,DATE($B$1,1,1)+48*7-1&gt;=$C7),1,""))</f>
        <v/>
      </c>
      <c r="BA7" s="10">
        <f>IF(OR($C7="",$D7=""),"",IF(AND(DATE($B$1,1,1)+(49-1)*7&lt;=$D7,DATE($B$1,1,1)+49*7-1&gt;=$C7),1,""))</f>
        <v/>
      </c>
      <c r="BB7" s="10">
        <f>IF(OR($C7="",$D7=""),"",IF(AND(DATE($B$1,1,1)+(50-1)*7&lt;=$D7,DATE($B$1,1,1)+50*7-1&gt;=$C7),1,""))</f>
        <v/>
      </c>
      <c r="BC7" s="10">
        <f>IF(OR($C7="",$D7=""),"",IF(AND(DATE($B$1,1,1)+(51-1)*7&lt;=$D7,DATE($B$1,1,1)+51*7-1&gt;=$C7),1,""))</f>
        <v/>
      </c>
      <c r="BD7" s="10">
        <f>IF(OR($C7="",$D7=""),"",IF(AND(DATE($B$1,1,1)+(52-1)*7&lt;=$D7,DATE($B$1,1,1)+52*7-1&gt;=$C7),1,""))</f>
        <v/>
      </c>
      <c r="BE7" s="10">
        <f>IF(OR($C7="",$D7=""),"",IF(AND(DATE($B$1,1,1)+(53-1)*7&lt;=$D7,DATE($B$1,1,1)+53*7-1&gt;=$C7),1,""))</f>
        <v/>
      </c>
      <c r="BF7" s="10">
        <f>IF(OR($C7="",$D7=""),"",IF(AND(DATE($B$1,1,1)+(54-1)*7&lt;=$D7,DATE($B$1,1,1)+54*7-1&gt;=$C7),1,""))</f>
        <v/>
      </c>
    </row>
    <row r="8">
      <c r="A8" s="6" t="n"/>
      <c r="B8" s="6" t="n"/>
      <c r="C8" s="11" t="n"/>
      <c r="D8" s="11" t="n"/>
      <c r="E8" s="10">
        <f>IF(OR($C8="",$D8=""),"",IF(AND(DATE($B$1,1,1)+(1-1)*7&lt;=$D8,DATE($B$1,1,1)+1*7-1&gt;=$C8),1,""))</f>
        <v/>
      </c>
      <c r="F8" s="10">
        <f>IF(OR($C8="",$D8=""),"",IF(AND(DATE($B$1,1,1)+(2-1)*7&lt;=$D8,DATE($B$1,1,1)+2*7-1&gt;=$C8),1,""))</f>
        <v/>
      </c>
      <c r="G8" s="10">
        <f>IF(OR($C8="",$D8=""),"",IF(AND(DATE($B$1,1,1)+(3-1)*7&lt;=$D8,DATE($B$1,1,1)+3*7-1&gt;=$C8),1,""))</f>
        <v/>
      </c>
      <c r="H8" s="10">
        <f>IF(OR($C8="",$D8=""),"",IF(AND(DATE($B$1,1,1)+(4-1)*7&lt;=$D8,DATE($B$1,1,1)+4*7-1&gt;=$C8),1,""))</f>
        <v/>
      </c>
      <c r="I8" s="10">
        <f>IF(OR($C8="",$D8=""),"",IF(AND(DATE($B$1,1,1)+(5-1)*7&lt;=$D8,DATE($B$1,1,1)+5*7-1&gt;=$C8),1,""))</f>
        <v/>
      </c>
      <c r="J8" s="10">
        <f>IF(OR($C8="",$D8=""),"",IF(AND(DATE($B$1,1,1)+(6-1)*7&lt;=$D8,DATE($B$1,1,1)+6*7-1&gt;=$C8),1,""))</f>
        <v/>
      </c>
      <c r="K8" s="10">
        <f>IF(OR($C8="",$D8=""),"",IF(AND(DATE($B$1,1,1)+(7-1)*7&lt;=$D8,DATE($B$1,1,1)+7*7-1&gt;=$C8),1,""))</f>
        <v/>
      </c>
      <c r="L8" s="10">
        <f>IF(OR($C8="",$D8=""),"",IF(AND(DATE($B$1,1,1)+(8-1)*7&lt;=$D8,DATE($B$1,1,1)+8*7-1&gt;=$C8),1,""))</f>
        <v/>
      </c>
      <c r="M8" s="10">
        <f>IF(OR($C8="",$D8=""),"",IF(AND(DATE($B$1,1,1)+(9-1)*7&lt;=$D8,DATE($B$1,1,1)+9*7-1&gt;=$C8),1,""))</f>
        <v/>
      </c>
      <c r="N8" s="10">
        <f>IF(OR($C8="",$D8=""),"",IF(AND(DATE($B$1,1,1)+(10-1)*7&lt;=$D8,DATE($B$1,1,1)+10*7-1&gt;=$C8),1,""))</f>
        <v/>
      </c>
      <c r="O8" s="10">
        <f>IF(OR($C8="",$D8=""),"",IF(AND(DATE($B$1,1,1)+(11-1)*7&lt;=$D8,DATE($B$1,1,1)+11*7-1&gt;=$C8),1,""))</f>
        <v/>
      </c>
      <c r="P8" s="10">
        <f>IF(OR($C8="",$D8=""),"",IF(AND(DATE($B$1,1,1)+(12-1)*7&lt;=$D8,DATE($B$1,1,1)+12*7-1&gt;=$C8),1,""))</f>
        <v/>
      </c>
      <c r="Q8" s="10">
        <f>IF(OR($C8="",$D8=""),"",IF(AND(DATE($B$1,1,1)+(13-1)*7&lt;=$D8,DATE($B$1,1,1)+13*7-1&gt;=$C8),1,""))</f>
        <v/>
      </c>
      <c r="R8" s="10">
        <f>IF(OR($C8="",$D8=""),"",IF(AND(DATE($B$1,1,1)+(14-1)*7&lt;=$D8,DATE($B$1,1,1)+14*7-1&gt;=$C8),1,""))</f>
        <v/>
      </c>
      <c r="S8" s="10">
        <f>IF(OR($C8="",$D8=""),"",IF(AND(DATE($B$1,1,1)+(15-1)*7&lt;=$D8,DATE($B$1,1,1)+15*7-1&gt;=$C8),1,""))</f>
        <v/>
      </c>
      <c r="T8" s="10">
        <f>IF(OR($C8="",$D8=""),"",IF(AND(DATE($B$1,1,1)+(16-1)*7&lt;=$D8,DATE($B$1,1,1)+16*7-1&gt;=$C8),1,""))</f>
        <v/>
      </c>
      <c r="U8" s="10">
        <f>IF(OR($C8="",$D8=""),"",IF(AND(DATE($B$1,1,1)+(17-1)*7&lt;=$D8,DATE($B$1,1,1)+17*7-1&gt;=$C8),1,""))</f>
        <v/>
      </c>
      <c r="V8" s="10">
        <f>IF(OR($C8="",$D8=""),"",IF(AND(DATE($B$1,1,1)+(18-1)*7&lt;=$D8,DATE($B$1,1,1)+18*7-1&gt;=$C8),1,""))</f>
        <v/>
      </c>
      <c r="W8" s="10">
        <f>IF(OR($C8="",$D8=""),"",IF(AND(DATE($B$1,1,1)+(19-1)*7&lt;=$D8,DATE($B$1,1,1)+19*7-1&gt;=$C8),1,""))</f>
        <v/>
      </c>
      <c r="X8" s="10">
        <f>IF(OR($C8="",$D8=""),"",IF(AND(DATE($B$1,1,1)+(20-1)*7&lt;=$D8,DATE($B$1,1,1)+20*7-1&gt;=$C8),1,""))</f>
        <v/>
      </c>
      <c r="Y8" s="10">
        <f>IF(OR($C8="",$D8=""),"",IF(AND(DATE($B$1,1,1)+(21-1)*7&lt;=$D8,DATE($B$1,1,1)+21*7-1&gt;=$C8),1,""))</f>
        <v/>
      </c>
      <c r="Z8" s="10">
        <f>IF(OR($C8="",$D8=""),"",IF(AND(DATE($B$1,1,1)+(22-1)*7&lt;=$D8,DATE($B$1,1,1)+22*7-1&gt;=$C8),1,""))</f>
        <v/>
      </c>
      <c r="AA8" s="10">
        <f>IF(OR($C8="",$D8=""),"",IF(AND(DATE($B$1,1,1)+(23-1)*7&lt;=$D8,DATE($B$1,1,1)+23*7-1&gt;=$C8),1,""))</f>
        <v/>
      </c>
      <c r="AB8" s="10">
        <f>IF(OR($C8="",$D8=""),"",IF(AND(DATE($B$1,1,1)+(24-1)*7&lt;=$D8,DATE($B$1,1,1)+24*7-1&gt;=$C8),1,""))</f>
        <v/>
      </c>
      <c r="AC8" s="10">
        <f>IF(OR($C8="",$D8=""),"",IF(AND(DATE($B$1,1,1)+(25-1)*7&lt;=$D8,DATE($B$1,1,1)+25*7-1&gt;=$C8),1,""))</f>
        <v/>
      </c>
      <c r="AD8" s="10">
        <f>IF(OR($C8="",$D8=""),"",IF(AND(DATE($B$1,1,1)+(26-1)*7&lt;=$D8,DATE($B$1,1,1)+26*7-1&gt;=$C8),1,""))</f>
        <v/>
      </c>
      <c r="AE8" s="10">
        <f>IF(OR($C8="",$D8=""),"",IF(AND(DATE($B$1,1,1)+(27-1)*7&lt;=$D8,DATE($B$1,1,1)+27*7-1&gt;=$C8),1,""))</f>
        <v/>
      </c>
      <c r="AF8" s="10">
        <f>IF(OR($C8="",$D8=""),"",IF(AND(DATE($B$1,1,1)+(28-1)*7&lt;=$D8,DATE($B$1,1,1)+28*7-1&gt;=$C8),1,""))</f>
        <v/>
      </c>
      <c r="AG8" s="10">
        <f>IF(OR($C8="",$D8=""),"",IF(AND(DATE($B$1,1,1)+(29-1)*7&lt;=$D8,DATE($B$1,1,1)+29*7-1&gt;=$C8),1,""))</f>
        <v/>
      </c>
      <c r="AH8" s="10">
        <f>IF(OR($C8="",$D8=""),"",IF(AND(DATE($B$1,1,1)+(30-1)*7&lt;=$D8,DATE($B$1,1,1)+30*7-1&gt;=$C8),1,""))</f>
        <v/>
      </c>
      <c r="AI8" s="10">
        <f>IF(OR($C8="",$D8=""),"",IF(AND(DATE($B$1,1,1)+(31-1)*7&lt;=$D8,DATE($B$1,1,1)+31*7-1&gt;=$C8),1,""))</f>
        <v/>
      </c>
      <c r="AJ8" s="10">
        <f>IF(OR($C8="",$D8=""),"",IF(AND(DATE($B$1,1,1)+(32-1)*7&lt;=$D8,DATE($B$1,1,1)+32*7-1&gt;=$C8),1,""))</f>
        <v/>
      </c>
      <c r="AK8" s="10">
        <f>IF(OR($C8="",$D8=""),"",IF(AND(DATE($B$1,1,1)+(33-1)*7&lt;=$D8,DATE($B$1,1,1)+33*7-1&gt;=$C8),1,""))</f>
        <v/>
      </c>
      <c r="AL8" s="10">
        <f>IF(OR($C8="",$D8=""),"",IF(AND(DATE($B$1,1,1)+(34-1)*7&lt;=$D8,DATE($B$1,1,1)+34*7-1&gt;=$C8),1,""))</f>
        <v/>
      </c>
      <c r="AM8" s="10">
        <f>IF(OR($C8="",$D8=""),"",IF(AND(DATE($B$1,1,1)+(35-1)*7&lt;=$D8,DATE($B$1,1,1)+35*7-1&gt;=$C8),1,""))</f>
        <v/>
      </c>
      <c r="AN8" s="10">
        <f>IF(OR($C8="",$D8=""),"",IF(AND(DATE($B$1,1,1)+(36-1)*7&lt;=$D8,DATE($B$1,1,1)+36*7-1&gt;=$C8),1,""))</f>
        <v/>
      </c>
      <c r="AO8" s="10">
        <f>IF(OR($C8="",$D8=""),"",IF(AND(DATE($B$1,1,1)+(37-1)*7&lt;=$D8,DATE($B$1,1,1)+37*7-1&gt;=$C8),1,""))</f>
        <v/>
      </c>
      <c r="AP8" s="10">
        <f>IF(OR($C8="",$D8=""),"",IF(AND(DATE($B$1,1,1)+(38-1)*7&lt;=$D8,DATE($B$1,1,1)+38*7-1&gt;=$C8),1,""))</f>
        <v/>
      </c>
      <c r="AQ8" s="10">
        <f>IF(OR($C8="",$D8=""),"",IF(AND(DATE($B$1,1,1)+(39-1)*7&lt;=$D8,DATE($B$1,1,1)+39*7-1&gt;=$C8),1,""))</f>
        <v/>
      </c>
      <c r="AR8" s="10">
        <f>IF(OR($C8="",$D8=""),"",IF(AND(DATE($B$1,1,1)+(40-1)*7&lt;=$D8,DATE($B$1,1,1)+40*7-1&gt;=$C8),1,""))</f>
        <v/>
      </c>
      <c r="AS8" s="10">
        <f>IF(OR($C8="",$D8=""),"",IF(AND(DATE($B$1,1,1)+(41-1)*7&lt;=$D8,DATE($B$1,1,1)+41*7-1&gt;=$C8),1,""))</f>
        <v/>
      </c>
      <c r="AT8" s="10">
        <f>IF(OR($C8="",$D8=""),"",IF(AND(DATE($B$1,1,1)+(42-1)*7&lt;=$D8,DATE($B$1,1,1)+42*7-1&gt;=$C8),1,""))</f>
        <v/>
      </c>
      <c r="AU8" s="10">
        <f>IF(OR($C8="",$D8=""),"",IF(AND(DATE($B$1,1,1)+(43-1)*7&lt;=$D8,DATE($B$1,1,1)+43*7-1&gt;=$C8),1,""))</f>
        <v/>
      </c>
      <c r="AV8" s="10">
        <f>IF(OR($C8="",$D8=""),"",IF(AND(DATE($B$1,1,1)+(44-1)*7&lt;=$D8,DATE($B$1,1,1)+44*7-1&gt;=$C8),1,""))</f>
        <v/>
      </c>
      <c r="AW8" s="10">
        <f>IF(OR($C8="",$D8=""),"",IF(AND(DATE($B$1,1,1)+(45-1)*7&lt;=$D8,DATE($B$1,1,1)+45*7-1&gt;=$C8),1,""))</f>
        <v/>
      </c>
      <c r="AX8" s="10">
        <f>IF(OR($C8="",$D8=""),"",IF(AND(DATE($B$1,1,1)+(46-1)*7&lt;=$D8,DATE($B$1,1,1)+46*7-1&gt;=$C8),1,""))</f>
        <v/>
      </c>
      <c r="AY8" s="10">
        <f>IF(OR($C8="",$D8=""),"",IF(AND(DATE($B$1,1,1)+(47-1)*7&lt;=$D8,DATE($B$1,1,1)+47*7-1&gt;=$C8),1,""))</f>
        <v/>
      </c>
      <c r="AZ8" s="10">
        <f>IF(OR($C8="",$D8=""),"",IF(AND(DATE($B$1,1,1)+(48-1)*7&lt;=$D8,DATE($B$1,1,1)+48*7-1&gt;=$C8),1,""))</f>
        <v/>
      </c>
      <c r="BA8" s="10">
        <f>IF(OR($C8="",$D8=""),"",IF(AND(DATE($B$1,1,1)+(49-1)*7&lt;=$D8,DATE($B$1,1,1)+49*7-1&gt;=$C8),1,""))</f>
        <v/>
      </c>
      <c r="BB8" s="10">
        <f>IF(OR($C8="",$D8=""),"",IF(AND(DATE($B$1,1,1)+(50-1)*7&lt;=$D8,DATE($B$1,1,1)+50*7-1&gt;=$C8),1,""))</f>
        <v/>
      </c>
      <c r="BC8" s="10">
        <f>IF(OR($C8="",$D8=""),"",IF(AND(DATE($B$1,1,1)+(51-1)*7&lt;=$D8,DATE($B$1,1,1)+51*7-1&gt;=$C8),1,""))</f>
        <v/>
      </c>
      <c r="BD8" s="10">
        <f>IF(OR($C8="",$D8=""),"",IF(AND(DATE($B$1,1,1)+(52-1)*7&lt;=$D8,DATE($B$1,1,1)+52*7-1&gt;=$C8),1,""))</f>
        <v/>
      </c>
      <c r="BE8" s="10">
        <f>IF(OR($C8="",$D8=""),"",IF(AND(DATE($B$1,1,1)+(53-1)*7&lt;=$D8,DATE($B$1,1,1)+53*7-1&gt;=$C8),1,""))</f>
        <v/>
      </c>
      <c r="BF8" s="10">
        <f>IF(OR($C8="",$D8=""),"",IF(AND(DATE($B$1,1,1)+(54-1)*7&lt;=$D8,DATE($B$1,1,1)+54*7-1&gt;=$C8),1,""))</f>
        <v/>
      </c>
    </row>
    <row r="9">
      <c r="A9" s="6" t="n"/>
      <c r="B9" s="6" t="n"/>
      <c r="C9" s="11" t="n"/>
      <c r="D9" s="11" t="n"/>
      <c r="E9" s="10">
        <f>IF(OR($C9="",$D9=""),"",IF(AND(DATE($B$1,1,1)+(1-1)*7&lt;=$D9,DATE($B$1,1,1)+1*7-1&gt;=$C9),1,""))</f>
        <v/>
      </c>
      <c r="F9" s="10">
        <f>IF(OR($C9="",$D9=""),"",IF(AND(DATE($B$1,1,1)+(2-1)*7&lt;=$D9,DATE($B$1,1,1)+2*7-1&gt;=$C9),1,""))</f>
        <v/>
      </c>
      <c r="G9" s="10">
        <f>IF(OR($C9="",$D9=""),"",IF(AND(DATE($B$1,1,1)+(3-1)*7&lt;=$D9,DATE($B$1,1,1)+3*7-1&gt;=$C9),1,""))</f>
        <v/>
      </c>
      <c r="H9" s="10">
        <f>IF(OR($C9="",$D9=""),"",IF(AND(DATE($B$1,1,1)+(4-1)*7&lt;=$D9,DATE($B$1,1,1)+4*7-1&gt;=$C9),1,""))</f>
        <v/>
      </c>
      <c r="I9" s="10">
        <f>IF(OR($C9="",$D9=""),"",IF(AND(DATE($B$1,1,1)+(5-1)*7&lt;=$D9,DATE($B$1,1,1)+5*7-1&gt;=$C9),1,""))</f>
        <v/>
      </c>
      <c r="J9" s="10">
        <f>IF(OR($C9="",$D9=""),"",IF(AND(DATE($B$1,1,1)+(6-1)*7&lt;=$D9,DATE($B$1,1,1)+6*7-1&gt;=$C9),1,""))</f>
        <v/>
      </c>
      <c r="K9" s="10">
        <f>IF(OR($C9="",$D9=""),"",IF(AND(DATE($B$1,1,1)+(7-1)*7&lt;=$D9,DATE($B$1,1,1)+7*7-1&gt;=$C9),1,""))</f>
        <v/>
      </c>
      <c r="L9" s="10">
        <f>IF(OR($C9="",$D9=""),"",IF(AND(DATE($B$1,1,1)+(8-1)*7&lt;=$D9,DATE($B$1,1,1)+8*7-1&gt;=$C9),1,""))</f>
        <v/>
      </c>
      <c r="M9" s="10">
        <f>IF(OR($C9="",$D9=""),"",IF(AND(DATE($B$1,1,1)+(9-1)*7&lt;=$D9,DATE($B$1,1,1)+9*7-1&gt;=$C9),1,""))</f>
        <v/>
      </c>
      <c r="N9" s="10">
        <f>IF(OR($C9="",$D9=""),"",IF(AND(DATE($B$1,1,1)+(10-1)*7&lt;=$D9,DATE($B$1,1,1)+10*7-1&gt;=$C9),1,""))</f>
        <v/>
      </c>
      <c r="O9" s="10">
        <f>IF(OR($C9="",$D9=""),"",IF(AND(DATE($B$1,1,1)+(11-1)*7&lt;=$D9,DATE($B$1,1,1)+11*7-1&gt;=$C9),1,""))</f>
        <v/>
      </c>
      <c r="P9" s="10">
        <f>IF(OR($C9="",$D9=""),"",IF(AND(DATE($B$1,1,1)+(12-1)*7&lt;=$D9,DATE($B$1,1,1)+12*7-1&gt;=$C9),1,""))</f>
        <v/>
      </c>
      <c r="Q9" s="10">
        <f>IF(OR($C9="",$D9=""),"",IF(AND(DATE($B$1,1,1)+(13-1)*7&lt;=$D9,DATE($B$1,1,1)+13*7-1&gt;=$C9),1,""))</f>
        <v/>
      </c>
      <c r="R9" s="10">
        <f>IF(OR($C9="",$D9=""),"",IF(AND(DATE($B$1,1,1)+(14-1)*7&lt;=$D9,DATE($B$1,1,1)+14*7-1&gt;=$C9),1,""))</f>
        <v/>
      </c>
      <c r="S9" s="10">
        <f>IF(OR($C9="",$D9=""),"",IF(AND(DATE($B$1,1,1)+(15-1)*7&lt;=$D9,DATE($B$1,1,1)+15*7-1&gt;=$C9),1,""))</f>
        <v/>
      </c>
      <c r="T9" s="10">
        <f>IF(OR($C9="",$D9=""),"",IF(AND(DATE($B$1,1,1)+(16-1)*7&lt;=$D9,DATE($B$1,1,1)+16*7-1&gt;=$C9),1,""))</f>
        <v/>
      </c>
      <c r="U9" s="10">
        <f>IF(OR($C9="",$D9=""),"",IF(AND(DATE($B$1,1,1)+(17-1)*7&lt;=$D9,DATE($B$1,1,1)+17*7-1&gt;=$C9),1,""))</f>
        <v/>
      </c>
      <c r="V9" s="10">
        <f>IF(OR($C9="",$D9=""),"",IF(AND(DATE($B$1,1,1)+(18-1)*7&lt;=$D9,DATE($B$1,1,1)+18*7-1&gt;=$C9),1,""))</f>
        <v/>
      </c>
      <c r="W9" s="10">
        <f>IF(OR($C9="",$D9=""),"",IF(AND(DATE($B$1,1,1)+(19-1)*7&lt;=$D9,DATE($B$1,1,1)+19*7-1&gt;=$C9),1,""))</f>
        <v/>
      </c>
      <c r="X9" s="10">
        <f>IF(OR($C9="",$D9=""),"",IF(AND(DATE($B$1,1,1)+(20-1)*7&lt;=$D9,DATE($B$1,1,1)+20*7-1&gt;=$C9),1,""))</f>
        <v/>
      </c>
      <c r="Y9" s="10">
        <f>IF(OR($C9="",$D9=""),"",IF(AND(DATE($B$1,1,1)+(21-1)*7&lt;=$D9,DATE($B$1,1,1)+21*7-1&gt;=$C9),1,""))</f>
        <v/>
      </c>
      <c r="Z9" s="10">
        <f>IF(OR($C9="",$D9=""),"",IF(AND(DATE($B$1,1,1)+(22-1)*7&lt;=$D9,DATE($B$1,1,1)+22*7-1&gt;=$C9),1,""))</f>
        <v/>
      </c>
      <c r="AA9" s="10">
        <f>IF(OR($C9="",$D9=""),"",IF(AND(DATE($B$1,1,1)+(23-1)*7&lt;=$D9,DATE($B$1,1,1)+23*7-1&gt;=$C9),1,""))</f>
        <v/>
      </c>
      <c r="AB9" s="10">
        <f>IF(OR($C9="",$D9=""),"",IF(AND(DATE($B$1,1,1)+(24-1)*7&lt;=$D9,DATE($B$1,1,1)+24*7-1&gt;=$C9),1,""))</f>
        <v/>
      </c>
      <c r="AC9" s="10">
        <f>IF(OR($C9="",$D9=""),"",IF(AND(DATE($B$1,1,1)+(25-1)*7&lt;=$D9,DATE($B$1,1,1)+25*7-1&gt;=$C9),1,""))</f>
        <v/>
      </c>
      <c r="AD9" s="10">
        <f>IF(OR($C9="",$D9=""),"",IF(AND(DATE($B$1,1,1)+(26-1)*7&lt;=$D9,DATE($B$1,1,1)+26*7-1&gt;=$C9),1,""))</f>
        <v/>
      </c>
      <c r="AE9" s="10">
        <f>IF(OR($C9="",$D9=""),"",IF(AND(DATE($B$1,1,1)+(27-1)*7&lt;=$D9,DATE($B$1,1,1)+27*7-1&gt;=$C9),1,""))</f>
        <v/>
      </c>
      <c r="AF9" s="10">
        <f>IF(OR($C9="",$D9=""),"",IF(AND(DATE($B$1,1,1)+(28-1)*7&lt;=$D9,DATE($B$1,1,1)+28*7-1&gt;=$C9),1,""))</f>
        <v/>
      </c>
      <c r="AG9" s="10">
        <f>IF(OR($C9="",$D9=""),"",IF(AND(DATE($B$1,1,1)+(29-1)*7&lt;=$D9,DATE($B$1,1,1)+29*7-1&gt;=$C9),1,""))</f>
        <v/>
      </c>
      <c r="AH9" s="10">
        <f>IF(OR($C9="",$D9=""),"",IF(AND(DATE($B$1,1,1)+(30-1)*7&lt;=$D9,DATE($B$1,1,1)+30*7-1&gt;=$C9),1,""))</f>
        <v/>
      </c>
      <c r="AI9" s="10">
        <f>IF(OR($C9="",$D9=""),"",IF(AND(DATE($B$1,1,1)+(31-1)*7&lt;=$D9,DATE($B$1,1,1)+31*7-1&gt;=$C9),1,""))</f>
        <v/>
      </c>
      <c r="AJ9" s="10">
        <f>IF(OR($C9="",$D9=""),"",IF(AND(DATE($B$1,1,1)+(32-1)*7&lt;=$D9,DATE($B$1,1,1)+32*7-1&gt;=$C9),1,""))</f>
        <v/>
      </c>
      <c r="AK9" s="10">
        <f>IF(OR($C9="",$D9=""),"",IF(AND(DATE($B$1,1,1)+(33-1)*7&lt;=$D9,DATE($B$1,1,1)+33*7-1&gt;=$C9),1,""))</f>
        <v/>
      </c>
      <c r="AL9" s="10">
        <f>IF(OR($C9="",$D9=""),"",IF(AND(DATE($B$1,1,1)+(34-1)*7&lt;=$D9,DATE($B$1,1,1)+34*7-1&gt;=$C9),1,""))</f>
        <v/>
      </c>
      <c r="AM9" s="10">
        <f>IF(OR($C9="",$D9=""),"",IF(AND(DATE($B$1,1,1)+(35-1)*7&lt;=$D9,DATE($B$1,1,1)+35*7-1&gt;=$C9),1,""))</f>
        <v/>
      </c>
      <c r="AN9" s="10">
        <f>IF(OR($C9="",$D9=""),"",IF(AND(DATE($B$1,1,1)+(36-1)*7&lt;=$D9,DATE($B$1,1,1)+36*7-1&gt;=$C9),1,""))</f>
        <v/>
      </c>
      <c r="AO9" s="10">
        <f>IF(OR($C9="",$D9=""),"",IF(AND(DATE($B$1,1,1)+(37-1)*7&lt;=$D9,DATE($B$1,1,1)+37*7-1&gt;=$C9),1,""))</f>
        <v/>
      </c>
      <c r="AP9" s="10">
        <f>IF(OR($C9="",$D9=""),"",IF(AND(DATE($B$1,1,1)+(38-1)*7&lt;=$D9,DATE($B$1,1,1)+38*7-1&gt;=$C9),1,""))</f>
        <v/>
      </c>
      <c r="AQ9" s="10">
        <f>IF(OR($C9="",$D9=""),"",IF(AND(DATE($B$1,1,1)+(39-1)*7&lt;=$D9,DATE($B$1,1,1)+39*7-1&gt;=$C9),1,""))</f>
        <v/>
      </c>
      <c r="AR9" s="10">
        <f>IF(OR($C9="",$D9=""),"",IF(AND(DATE($B$1,1,1)+(40-1)*7&lt;=$D9,DATE($B$1,1,1)+40*7-1&gt;=$C9),1,""))</f>
        <v/>
      </c>
      <c r="AS9" s="10">
        <f>IF(OR($C9="",$D9=""),"",IF(AND(DATE($B$1,1,1)+(41-1)*7&lt;=$D9,DATE($B$1,1,1)+41*7-1&gt;=$C9),1,""))</f>
        <v/>
      </c>
      <c r="AT9" s="10">
        <f>IF(OR($C9="",$D9=""),"",IF(AND(DATE($B$1,1,1)+(42-1)*7&lt;=$D9,DATE($B$1,1,1)+42*7-1&gt;=$C9),1,""))</f>
        <v/>
      </c>
      <c r="AU9" s="10">
        <f>IF(OR($C9="",$D9=""),"",IF(AND(DATE($B$1,1,1)+(43-1)*7&lt;=$D9,DATE($B$1,1,1)+43*7-1&gt;=$C9),1,""))</f>
        <v/>
      </c>
      <c r="AV9" s="10">
        <f>IF(OR($C9="",$D9=""),"",IF(AND(DATE($B$1,1,1)+(44-1)*7&lt;=$D9,DATE($B$1,1,1)+44*7-1&gt;=$C9),1,""))</f>
        <v/>
      </c>
      <c r="AW9" s="10">
        <f>IF(OR($C9="",$D9=""),"",IF(AND(DATE($B$1,1,1)+(45-1)*7&lt;=$D9,DATE($B$1,1,1)+45*7-1&gt;=$C9),1,""))</f>
        <v/>
      </c>
      <c r="AX9" s="10">
        <f>IF(OR($C9="",$D9=""),"",IF(AND(DATE($B$1,1,1)+(46-1)*7&lt;=$D9,DATE($B$1,1,1)+46*7-1&gt;=$C9),1,""))</f>
        <v/>
      </c>
      <c r="AY9" s="10">
        <f>IF(OR($C9="",$D9=""),"",IF(AND(DATE($B$1,1,1)+(47-1)*7&lt;=$D9,DATE($B$1,1,1)+47*7-1&gt;=$C9),1,""))</f>
        <v/>
      </c>
      <c r="AZ9" s="10">
        <f>IF(OR($C9="",$D9=""),"",IF(AND(DATE($B$1,1,1)+(48-1)*7&lt;=$D9,DATE($B$1,1,1)+48*7-1&gt;=$C9),1,""))</f>
        <v/>
      </c>
      <c r="BA9" s="10">
        <f>IF(OR($C9="",$D9=""),"",IF(AND(DATE($B$1,1,1)+(49-1)*7&lt;=$D9,DATE($B$1,1,1)+49*7-1&gt;=$C9),1,""))</f>
        <v/>
      </c>
      <c r="BB9" s="10">
        <f>IF(OR($C9="",$D9=""),"",IF(AND(DATE($B$1,1,1)+(50-1)*7&lt;=$D9,DATE($B$1,1,1)+50*7-1&gt;=$C9),1,""))</f>
        <v/>
      </c>
      <c r="BC9" s="10">
        <f>IF(OR($C9="",$D9=""),"",IF(AND(DATE($B$1,1,1)+(51-1)*7&lt;=$D9,DATE($B$1,1,1)+51*7-1&gt;=$C9),1,""))</f>
        <v/>
      </c>
      <c r="BD9" s="10">
        <f>IF(OR($C9="",$D9=""),"",IF(AND(DATE($B$1,1,1)+(52-1)*7&lt;=$D9,DATE($B$1,1,1)+52*7-1&gt;=$C9),1,""))</f>
        <v/>
      </c>
      <c r="BE9" s="10">
        <f>IF(OR($C9="",$D9=""),"",IF(AND(DATE($B$1,1,1)+(53-1)*7&lt;=$D9,DATE($B$1,1,1)+53*7-1&gt;=$C9),1,""))</f>
        <v/>
      </c>
      <c r="BF9" s="10">
        <f>IF(OR($C9="",$D9=""),"",IF(AND(DATE($B$1,1,1)+(54-1)*7&lt;=$D9,DATE($B$1,1,1)+54*7-1&gt;=$C9),1,""))</f>
        <v/>
      </c>
    </row>
    <row r="10">
      <c r="A10" s="6" t="n"/>
      <c r="B10" s="6" t="n"/>
      <c r="C10" s="11" t="n"/>
      <c r="D10" s="11" t="n"/>
      <c r="E10" s="10">
        <f>IF(OR($C10="",$D10=""),"",IF(AND(DATE($B$1,1,1)+(1-1)*7&lt;=$D10,DATE($B$1,1,1)+1*7-1&gt;=$C10),1,""))</f>
        <v/>
      </c>
      <c r="F10" s="10">
        <f>IF(OR($C10="",$D10=""),"",IF(AND(DATE($B$1,1,1)+(2-1)*7&lt;=$D10,DATE($B$1,1,1)+2*7-1&gt;=$C10),1,""))</f>
        <v/>
      </c>
      <c r="G10" s="10">
        <f>IF(OR($C10="",$D10=""),"",IF(AND(DATE($B$1,1,1)+(3-1)*7&lt;=$D10,DATE($B$1,1,1)+3*7-1&gt;=$C10),1,""))</f>
        <v/>
      </c>
      <c r="H10" s="10">
        <f>IF(OR($C10="",$D10=""),"",IF(AND(DATE($B$1,1,1)+(4-1)*7&lt;=$D10,DATE($B$1,1,1)+4*7-1&gt;=$C10),1,""))</f>
        <v/>
      </c>
      <c r="I10" s="10">
        <f>IF(OR($C10="",$D10=""),"",IF(AND(DATE($B$1,1,1)+(5-1)*7&lt;=$D10,DATE($B$1,1,1)+5*7-1&gt;=$C10),1,""))</f>
        <v/>
      </c>
      <c r="J10" s="10">
        <f>IF(OR($C10="",$D10=""),"",IF(AND(DATE($B$1,1,1)+(6-1)*7&lt;=$D10,DATE($B$1,1,1)+6*7-1&gt;=$C10),1,""))</f>
        <v/>
      </c>
      <c r="K10" s="10">
        <f>IF(OR($C10="",$D10=""),"",IF(AND(DATE($B$1,1,1)+(7-1)*7&lt;=$D10,DATE($B$1,1,1)+7*7-1&gt;=$C10),1,""))</f>
        <v/>
      </c>
      <c r="L10" s="10">
        <f>IF(OR($C10="",$D10=""),"",IF(AND(DATE($B$1,1,1)+(8-1)*7&lt;=$D10,DATE($B$1,1,1)+8*7-1&gt;=$C10),1,""))</f>
        <v/>
      </c>
      <c r="M10" s="10">
        <f>IF(OR($C10="",$D10=""),"",IF(AND(DATE($B$1,1,1)+(9-1)*7&lt;=$D10,DATE($B$1,1,1)+9*7-1&gt;=$C10),1,""))</f>
        <v/>
      </c>
      <c r="N10" s="10">
        <f>IF(OR($C10="",$D10=""),"",IF(AND(DATE($B$1,1,1)+(10-1)*7&lt;=$D10,DATE($B$1,1,1)+10*7-1&gt;=$C10),1,""))</f>
        <v/>
      </c>
      <c r="O10" s="10">
        <f>IF(OR($C10="",$D10=""),"",IF(AND(DATE($B$1,1,1)+(11-1)*7&lt;=$D10,DATE($B$1,1,1)+11*7-1&gt;=$C10),1,""))</f>
        <v/>
      </c>
      <c r="P10" s="10">
        <f>IF(OR($C10="",$D10=""),"",IF(AND(DATE($B$1,1,1)+(12-1)*7&lt;=$D10,DATE($B$1,1,1)+12*7-1&gt;=$C10),1,""))</f>
        <v/>
      </c>
      <c r="Q10" s="10">
        <f>IF(OR($C10="",$D10=""),"",IF(AND(DATE($B$1,1,1)+(13-1)*7&lt;=$D10,DATE($B$1,1,1)+13*7-1&gt;=$C10),1,""))</f>
        <v/>
      </c>
      <c r="R10" s="10">
        <f>IF(OR($C10="",$D10=""),"",IF(AND(DATE($B$1,1,1)+(14-1)*7&lt;=$D10,DATE($B$1,1,1)+14*7-1&gt;=$C10),1,""))</f>
        <v/>
      </c>
      <c r="S10" s="10">
        <f>IF(OR($C10="",$D10=""),"",IF(AND(DATE($B$1,1,1)+(15-1)*7&lt;=$D10,DATE($B$1,1,1)+15*7-1&gt;=$C10),1,""))</f>
        <v/>
      </c>
      <c r="T10" s="10">
        <f>IF(OR($C10="",$D10=""),"",IF(AND(DATE($B$1,1,1)+(16-1)*7&lt;=$D10,DATE($B$1,1,1)+16*7-1&gt;=$C10),1,""))</f>
        <v/>
      </c>
      <c r="U10" s="10">
        <f>IF(OR($C10="",$D10=""),"",IF(AND(DATE($B$1,1,1)+(17-1)*7&lt;=$D10,DATE($B$1,1,1)+17*7-1&gt;=$C10),1,""))</f>
        <v/>
      </c>
      <c r="V10" s="10">
        <f>IF(OR($C10="",$D10=""),"",IF(AND(DATE($B$1,1,1)+(18-1)*7&lt;=$D10,DATE($B$1,1,1)+18*7-1&gt;=$C10),1,""))</f>
        <v/>
      </c>
      <c r="W10" s="10">
        <f>IF(OR($C10="",$D10=""),"",IF(AND(DATE($B$1,1,1)+(19-1)*7&lt;=$D10,DATE($B$1,1,1)+19*7-1&gt;=$C10),1,""))</f>
        <v/>
      </c>
      <c r="X10" s="10">
        <f>IF(OR($C10="",$D10=""),"",IF(AND(DATE($B$1,1,1)+(20-1)*7&lt;=$D10,DATE($B$1,1,1)+20*7-1&gt;=$C10),1,""))</f>
        <v/>
      </c>
      <c r="Y10" s="10">
        <f>IF(OR($C10="",$D10=""),"",IF(AND(DATE($B$1,1,1)+(21-1)*7&lt;=$D10,DATE($B$1,1,1)+21*7-1&gt;=$C10),1,""))</f>
        <v/>
      </c>
      <c r="Z10" s="10">
        <f>IF(OR($C10="",$D10=""),"",IF(AND(DATE($B$1,1,1)+(22-1)*7&lt;=$D10,DATE($B$1,1,1)+22*7-1&gt;=$C10),1,""))</f>
        <v/>
      </c>
      <c r="AA10" s="10">
        <f>IF(OR($C10="",$D10=""),"",IF(AND(DATE($B$1,1,1)+(23-1)*7&lt;=$D10,DATE($B$1,1,1)+23*7-1&gt;=$C10),1,""))</f>
        <v/>
      </c>
      <c r="AB10" s="10">
        <f>IF(OR($C10="",$D10=""),"",IF(AND(DATE($B$1,1,1)+(24-1)*7&lt;=$D10,DATE($B$1,1,1)+24*7-1&gt;=$C10),1,""))</f>
        <v/>
      </c>
      <c r="AC10" s="10">
        <f>IF(OR($C10="",$D10=""),"",IF(AND(DATE($B$1,1,1)+(25-1)*7&lt;=$D10,DATE($B$1,1,1)+25*7-1&gt;=$C10),1,""))</f>
        <v/>
      </c>
      <c r="AD10" s="10">
        <f>IF(OR($C10="",$D10=""),"",IF(AND(DATE($B$1,1,1)+(26-1)*7&lt;=$D10,DATE($B$1,1,1)+26*7-1&gt;=$C10),1,""))</f>
        <v/>
      </c>
      <c r="AE10" s="10">
        <f>IF(OR($C10="",$D10=""),"",IF(AND(DATE($B$1,1,1)+(27-1)*7&lt;=$D10,DATE($B$1,1,1)+27*7-1&gt;=$C10),1,""))</f>
        <v/>
      </c>
      <c r="AF10" s="10">
        <f>IF(OR($C10="",$D10=""),"",IF(AND(DATE($B$1,1,1)+(28-1)*7&lt;=$D10,DATE($B$1,1,1)+28*7-1&gt;=$C10),1,""))</f>
        <v/>
      </c>
      <c r="AG10" s="10">
        <f>IF(OR($C10="",$D10=""),"",IF(AND(DATE($B$1,1,1)+(29-1)*7&lt;=$D10,DATE($B$1,1,1)+29*7-1&gt;=$C10),1,""))</f>
        <v/>
      </c>
      <c r="AH10" s="10">
        <f>IF(OR($C10="",$D10=""),"",IF(AND(DATE($B$1,1,1)+(30-1)*7&lt;=$D10,DATE($B$1,1,1)+30*7-1&gt;=$C10),1,""))</f>
        <v/>
      </c>
      <c r="AI10" s="10">
        <f>IF(OR($C10="",$D10=""),"",IF(AND(DATE($B$1,1,1)+(31-1)*7&lt;=$D10,DATE($B$1,1,1)+31*7-1&gt;=$C10),1,""))</f>
        <v/>
      </c>
      <c r="AJ10" s="10">
        <f>IF(OR($C10="",$D10=""),"",IF(AND(DATE($B$1,1,1)+(32-1)*7&lt;=$D10,DATE($B$1,1,1)+32*7-1&gt;=$C10),1,""))</f>
        <v/>
      </c>
      <c r="AK10" s="10">
        <f>IF(OR($C10="",$D10=""),"",IF(AND(DATE($B$1,1,1)+(33-1)*7&lt;=$D10,DATE($B$1,1,1)+33*7-1&gt;=$C10),1,""))</f>
        <v/>
      </c>
      <c r="AL10" s="10">
        <f>IF(OR($C10="",$D10=""),"",IF(AND(DATE($B$1,1,1)+(34-1)*7&lt;=$D10,DATE($B$1,1,1)+34*7-1&gt;=$C10),1,""))</f>
        <v/>
      </c>
      <c r="AM10" s="10">
        <f>IF(OR($C10="",$D10=""),"",IF(AND(DATE($B$1,1,1)+(35-1)*7&lt;=$D10,DATE($B$1,1,1)+35*7-1&gt;=$C10),1,""))</f>
        <v/>
      </c>
      <c r="AN10" s="10">
        <f>IF(OR($C10="",$D10=""),"",IF(AND(DATE($B$1,1,1)+(36-1)*7&lt;=$D10,DATE($B$1,1,1)+36*7-1&gt;=$C10),1,""))</f>
        <v/>
      </c>
      <c r="AO10" s="10">
        <f>IF(OR($C10="",$D10=""),"",IF(AND(DATE($B$1,1,1)+(37-1)*7&lt;=$D10,DATE($B$1,1,1)+37*7-1&gt;=$C10),1,""))</f>
        <v/>
      </c>
      <c r="AP10" s="10">
        <f>IF(OR($C10="",$D10=""),"",IF(AND(DATE($B$1,1,1)+(38-1)*7&lt;=$D10,DATE($B$1,1,1)+38*7-1&gt;=$C10),1,""))</f>
        <v/>
      </c>
      <c r="AQ10" s="10">
        <f>IF(OR($C10="",$D10=""),"",IF(AND(DATE($B$1,1,1)+(39-1)*7&lt;=$D10,DATE($B$1,1,1)+39*7-1&gt;=$C10),1,""))</f>
        <v/>
      </c>
      <c r="AR10" s="10">
        <f>IF(OR($C10="",$D10=""),"",IF(AND(DATE($B$1,1,1)+(40-1)*7&lt;=$D10,DATE($B$1,1,1)+40*7-1&gt;=$C10),1,""))</f>
        <v/>
      </c>
      <c r="AS10" s="10">
        <f>IF(OR($C10="",$D10=""),"",IF(AND(DATE($B$1,1,1)+(41-1)*7&lt;=$D10,DATE($B$1,1,1)+41*7-1&gt;=$C10),1,""))</f>
        <v/>
      </c>
      <c r="AT10" s="10">
        <f>IF(OR($C10="",$D10=""),"",IF(AND(DATE($B$1,1,1)+(42-1)*7&lt;=$D10,DATE($B$1,1,1)+42*7-1&gt;=$C10),1,""))</f>
        <v/>
      </c>
      <c r="AU10" s="10">
        <f>IF(OR($C10="",$D10=""),"",IF(AND(DATE($B$1,1,1)+(43-1)*7&lt;=$D10,DATE($B$1,1,1)+43*7-1&gt;=$C10),1,""))</f>
        <v/>
      </c>
      <c r="AV10" s="10">
        <f>IF(OR($C10="",$D10=""),"",IF(AND(DATE($B$1,1,1)+(44-1)*7&lt;=$D10,DATE($B$1,1,1)+44*7-1&gt;=$C10),1,""))</f>
        <v/>
      </c>
      <c r="AW10" s="10">
        <f>IF(OR($C10="",$D10=""),"",IF(AND(DATE($B$1,1,1)+(45-1)*7&lt;=$D10,DATE($B$1,1,1)+45*7-1&gt;=$C10),1,""))</f>
        <v/>
      </c>
      <c r="AX10" s="10">
        <f>IF(OR($C10="",$D10=""),"",IF(AND(DATE($B$1,1,1)+(46-1)*7&lt;=$D10,DATE($B$1,1,1)+46*7-1&gt;=$C10),1,""))</f>
        <v/>
      </c>
      <c r="AY10" s="10">
        <f>IF(OR($C10="",$D10=""),"",IF(AND(DATE($B$1,1,1)+(47-1)*7&lt;=$D10,DATE($B$1,1,1)+47*7-1&gt;=$C10),1,""))</f>
        <v/>
      </c>
      <c r="AZ10" s="10">
        <f>IF(OR($C10="",$D10=""),"",IF(AND(DATE($B$1,1,1)+(48-1)*7&lt;=$D10,DATE($B$1,1,1)+48*7-1&gt;=$C10),1,""))</f>
        <v/>
      </c>
      <c r="BA10" s="10">
        <f>IF(OR($C10="",$D10=""),"",IF(AND(DATE($B$1,1,1)+(49-1)*7&lt;=$D10,DATE($B$1,1,1)+49*7-1&gt;=$C10),1,""))</f>
        <v/>
      </c>
      <c r="BB10" s="10">
        <f>IF(OR($C10="",$D10=""),"",IF(AND(DATE($B$1,1,1)+(50-1)*7&lt;=$D10,DATE($B$1,1,1)+50*7-1&gt;=$C10),1,""))</f>
        <v/>
      </c>
      <c r="BC10" s="10">
        <f>IF(OR($C10="",$D10=""),"",IF(AND(DATE($B$1,1,1)+(51-1)*7&lt;=$D10,DATE($B$1,1,1)+51*7-1&gt;=$C10),1,""))</f>
        <v/>
      </c>
      <c r="BD10" s="10">
        <f>IF(OR($C10="",$D10=""),"",IF(AND(DATE($B$1,1,1)+(52-1)*7&lt;=$D10,DATE($B$1,1,1)+52*7-1&gt;=$C10),1,""))</f>
        <v/>
      </c>
      <c r="BE10" s="10">
        <f>IF(OR($C10="",$D10=""),"",IF(AND(DATE($B$1,1,1)+(53-1)*7&lt;=$D10,DATE($B$1,1,1)+53*7-1&gt;=$C10),1,""))</f>
        <v/>
      </c>
      <c r="BF10" s="10">
        <f>IF(OR($C10="",$D10=""),"",IF(AND(DATE($B$1,1,1)+(54-1)*7&lt;=$D10,DATE($B$1,1,1)+54*7-1&gt;=$C10),1,""))</f>
        <v/>
      </c>
    </row>
    <row r="11">
      <c r="A11" s="6" t="n"/>
      <c r="B11" s="6" t="n"/>
      <c r="C11" s="11" t="n"/>
      <c r="D11" s="11" t="n"/>
      <c r="E11" s="10">
        <f>IF(OR($C11="",$D11=""),"",IF(AND(DATE($B$1,1,1)+(1-1)*7&lt;=$D11,DATE($B$1,1,1)+1*7-1&gt;=$C11),1,""))</f>
        <v/>
      </c>
      <c r="F11" s="10">
        <f>IF(OR($C11="",$D11=""),"",IF(AND(DATE($B$1,1,1)+(2-1)*7&lt;=$D11,DATE($B$1,1,1)+2*7-1&gt;=$C11),1,""))</f>
        <v/>
      </c>
      <c r="G11" s="10">
        <f>IF(OR($C11="",$D11=""),"",IF(AND(DATE($B$1,1,1)+(3-1)*7&lt;=$D11,DATE($B$1,1,1)+3*7-1&gt;=$C11),1,""))</f>
        <v/>
      </c>
      <c r="H11" s="10">
        <f>IF(OR($C11="",$D11=""),"",IF(AND(DATE($B$1,1,1)+(4-1)*7&lt;=$D11,DATE($B$1,1,1)+4*7-1&gt;=$C11),1,""))</f>
        <v/>
      </c>
      <c r="I11" s="10">
        <f>IF(OR($C11="",$D11=""),"",IF(AND(DATE($B$1,1,1)+(5-1)*7&lt;=$D11,DATE($B$1,1,1)+5*7-1&gt;=$C11),1,""))</f>
        <v/>
      </c>
      <c r="J11" s="10">
        <f>IF(OR($C11="",$D11=""),"",IF(AND(DATE($B$1,1,1)+(6-1)*7&lt;=$D11,DATE($B$1,1,1)+6*7-1&gt;=$C11),1,""))</f>
        <v/>
      </c>
      <c r="K11" s="10">
        <f>IF(OR($C11="",$D11=""),"",IF(AND(DATE($B$1,1,1)+(7-1)*7&lt;=$D11,DATE($B$1,1,1)+7*7-1&gt;=$C11),1,""))</f>
        <v/>
      </c>
      <c r="L11" s="10">
        <f>IF(OR($C11="",$D11=""),"",IF(AND(DATE($B$1,1,1)+(8-1)*7&lt;=$D11,DATE($B$1,1,1)+8*7-1&gt;=$C11),1,""))</f>
        <v/>
      </c>
      <c r="M11" s="10">
        <f>IF(OR($C11="",$D11=""),"",IF(AND(DATE($B$1,1,1)+(9-1)*7&lt;=$D11,DATE($B$1,1,1)+9*7-1&gt;=$C11),1,""))</f>
        <v/>
      </c>
      <c r="N11" s="10">
        <f>IF(OR($C11="",$D11=""),"",IF(AND(DATE($B$1,1,1)+(10-1)*7&lt;=$D11,DATE($B$1,1,1)+10*7-1&gt;=$C11),1,""))</f>
        <v/>
      </c>
      <c r="O11" s="10">
        <f>IF(OR($C11="",$D11=""),"",IF(AND(DATE($B$1,1,1)+(11-1)*7&lt;=$D11,DATE($B$1,1,1)+11*7-1&gt;=$C11),1,""))</f>
        <v/>
      </c>
      <c r="P11" s="10">
        <f>IF(OR($C11="",$D11=""),"",IF(AND(DATE($B$1,1,1)+(12-1)*7&lt;=$D11,DATE($B$1,1,1)+12*7-1&gt;=$C11),1,""))</f>
        <v/>
      </c>
      <c r="Q11" s="10">
        <f>IF(OR($C11="",$D11=""),"",IF(AND(DATE($B$1,1,1)+(13-1)*7&lt;=$D11,DATE($B$1,1,1)+13*7-1&gt;=$C11),1,""))</f>
        <v/>
      </c>
      <c r="R11" s="10">
        <f>IF(OR($C11="",$D11=""),"",IF(AND(DATE($B$1,1,1)+(14-1)*7&lt;=$D11,DATE($B$1,1,1)+14*7-1&gt;=$C11),1,""))</f>
        <v/>
      </c>
      <c r="S11" s="10">
        <f>IF(OR($C11="",$D11=""),"",IF(AND(DATE($B$1,1,1)+(15-1)*7&lt;=$D11,DATE($B$1,1,1)+15*7-1&gt;=$C11),1,""))</f>
        <v/>
      </c>
      <c r="T11" s="10">
        <f>IF(OR($C11="",$D11=""),"",IF(AND(DATE($B$1,1,1)+(16-1)*7&lt;=$D11,DATE($B$1,1,1)+16*7-1&gt;=$C11),1,""))</f>
        <v/>
      </c>
      <c r="U11" s="10">
        <f>IF(OR($C11="",$D11=""),"",IF(AND(DATE($B$1,1,1)+(17-1)*7&lt;=$D11,DATE($B$1,1,1)+17*7-1&gt;=$C11),1,""))</f>
        <v/>
      </c>
      <c r="V11" s="10">
        <f>IF(OR($C11="",$D11=""),"",IF(AND(DATE($B$1,1,1)+(18-1)*7&lt;=$D11,DATE($B$1,1,1)+18*7-1&gt;=$C11),1,""))</f>
        <v/>
      </c>
      <c r="W11" s="10">
        <f>IF(OR($C11="",$D11=""),"",IF(AND(DATE($B$1,1,1)+(19-1)*7&lt;=$D11,DATE($B$1,1,1)+19*7-1&gt;=$C11),1,""))</f>
        <v/>
      </c>
      <c r="X11" s="10">
        <f>IF(OR($C11="",$D11=""),"",IF(AND(DATE($B$1,1,1)+(20-1)*7&lt;=$D11,DATE($B$1,1,1)+20*7-1&gt;=$C11),1,""))</f>
        <v/>
      </c>
      <c r="Y11" s="10">
        <f>IF(OR($C11="",$D11=""),"",IF(AND(DATE($B$1,1,1)+(21-1)*7&lt;=$D11,DATE($B$1,1,1)+21*7-1&gt;=$C11),1,""))</f>
        <v/>
      </c>
      <c r="Z11" s="10">
        <f>IF(OR($C11="",$D11=""),"",IF(AND(DATE($B$1,1,1)+(22-1)*7&lt;=$D11,DATE($B$1,1,1)+22*7-1&gt;=$C11),1,""))</f>
        <v/>
      </c>
      <c r="AA11" s="10">
        <f>IF(OR($C11="",$D11=""),"",IF(AND(DATE($B$1,1,1)+(23-1)*7&lt;=$D11,DATE($B$1,1,1)+23*7-1&gt;=$C11),1,""))</f>
        <v/>
      </c>
      <c r="AB11" s="10">
        <f>IF(OR($C11="",$D11=""),"",IF(AND(DATE($B$1,1,1)+(24-1)*7&lt;=$D11,DATE($B$1,1,1)+24*7-1&gt;=$C11),1,""))</f>
        <v/>
      </c>
      <c r="AC11" s="10">
        <f>IF(OR($C11="",$D11=""),"",IF(AND(DATE($B$1,1,1)+(25-1)*7&lt;=$D11,DATE($B$1,1,1)+25*7-1&gt;=$C11),1,""))</f>
        <v/>
      </c>
      <c r="AD11" s="10">
        <f>IF(OR($C11="",$D11=""),"",IF(AND(DATE($B$1,1,1)+(26-1)*7&lt;=$D11,DATE($B$1,1,1)+26*7-1&gt;=$C11),1,""))</f>
        <v/>
      </c>
      <c r="AE11" s="10">
        <f>IF(OR($C11="",$D11=""),"",IF(AND(DATE($B$1,1,1)+(27-1)*7&lt;=$D11,DATE($B$1,1,1)+27*7-1&gt;=$C11),1,""))</f>
        <v/>
      </c>
      <c r="AF11" s="10">
        <f>IF(OR($C11="",$D11=""),"",IF(AND(DATE($B$1,1,1)+(28-1)*7&lt;=$D11,DATE($B$1,1,1)+28*7-1&gt;=$C11),1,""))</f>
        <v/>
      </c>
      <c r="AG11" s="10">
        <f>IF(OR($C11="",$D11=""),"",IF(AND(DATE($B$1,1,1)+(29-1)*7&lt;=$D11,DATE($B$1,1,1)+29*7-1&gt;=$C11),1,""))</f>
        <v/>
      </c>
      <c r="AH11" s="10">
        <f>IF(OR($C11="",$D11=""),"",IF(AND(DATE($B$1,1,1)+(30-1)*7&lt;=$D11,DATE($B$1,1,1)+30*7-1&gt;=$C11),1,""))</f>
        <v/>
      </c>
      <c r="AI11" s="10">
        <f>IF(OR($C11="",$D11=""),"",IF(AND(DATE($B$1,1,1)+(31-1)*7&lt;=$D11,DATE($B$1,1,1)+31*7-1&gt;=$C11),1,""))</f>
        <v/>
      </c>
      <c r="AJ11" s="10">
        <f>IF(OR($C11="",$D11=""),"",IF(AND(DATE($B$1,1,1)+(32-1)*7&lt;=$D11,DATE($B$1,1,1)+32*7-1&gt;=$C11),1,""))</f>
        <v/>
      </c>
      <c r="AK11" s="10">
        <f>IF(OR($C11="",$D11=""),"",IF(AND(DATE($B$1,1,1)+(33-1)*7&lt;=$D11,DATE($B$1,1,1)+33*7-1&gt;=$C11),1,""))</f>
        <v/>
      </c>
      <c r="AL11" s="10">
        <f>IF(OR($C11="",$D11=""),"",IF(AND(DATE($B$1,1,1)+(34-1)*7&lt;=$D11,DATE($B$1,1,1)+34*7-1&gt;=$C11),1,""))</f>
        <v/>
      </c>
      <c r="AM11" s="10">
        <f>IF(OR($C11="",$D11=""),"",IF(AND(DATE($B$1,1,1)+(35-1)*7&lt;=$D11,DATE($B$1,1,1)+35*7-1&gt;=$C11),1,""))</f>
        <v/>
      </c>
      <c r="AN11" s="10">
        <f>IF(OR($C11="",$D11=""),"",IF(AND(DATE($B$1,1,1)+(36-1)*7&lt;=$D11,DATE($B$1,1,1)+36*7-1&gt;=$C11),1,""))</f>
        <v/>
      </c>
      <c r="AO11" s="10">
        <f>IF(OR($C11="",$D11=""),"",IF(AND(DATE($B$1,1,1)+(37-1)*7&lt;=$D11,DATE($B$1,1,1)+37*7-1&gt;=$C11),1,""))</f>
        <v/>
      </c>
      <c r="AP11" s="10">
        <f>IF(OR($C11="",$D11=""),"",IF(AND(DATE($B$1,1,1)+(38-1)*7&lt;=$D11,DATE($B$1,1,1)+38*7-1&gt;=$C11),1,""))</f>
        <v/>
      </c>
      <c r="AQ11" s="10">
        <f>IF(OR($C11="",$D11=""),"",IF(AND(DATE($B$1,1,1)+(39-1)*7&lt;=$D11,DATE($B$1,1,1)+39*7-1&gt;=$C11),1,""))</f>
        <v/>
      </c>
      <c r="AR11" s="10">
        <f>IF(OR($C11="",$D11=""),"",IF(AND(DATE($B$1,1,1)+(40-1)*7&lt;=$D11,DATE($B$1,1,1)+40*7-1&gt;=$C11),1,""))</f>
        <v/>
      </c>
      <c r="AS11" s="10">
        <f>IF(OR($C11="",$D11=""),"",IF(AND(DATE($B$1,1,1)+(41-1)*7&lt;=$D11,DATE($B$1,1,1)+41*7-1&gt;=$C11),1,""))</f>
        <v/>
      </c>
      <c r="AT11" s="10">
        <f>IF(OR($C11="",$D11=""),"",IF(AND(DATE($B$1,1,1)+(42-1)*7&lt;=$D11,DATE($B$1,1,1)+42*7-1&gt;=$C11),1,""))</f>
        <v/>
      </c>
      <c r="AU11" s="10">
        <f>IF(OR($C11="",$D11=""),"",IF(AND(DATE($B$1,1,1)+(43-1)*7&lt;=$D11,DATE($B$1,1,1)+43*7-1&gt;=$C11),1,""))</f>
        <v/>
      </c>
      <c r="AV11" s="10">
        <f>IF(OR($C11="",$D11=""),"",IF(AND(DATE($B$1,1,1)+(44-1)*7&lt;=$D11,DATE($B$1,1,1)+44*7-1&gt;=$C11),1,""))</f>
        <v/>
      </c>
      <c r="AW11" s="10">
        <f>IF(OR($C11="",$D11=""),"",IF(AND(DATE($B$1,1,1)+(45-1)*7&lt;=$D11,DATE($B$1,1,1)+45*7-1&gt;=$C11),1,""))</f>
        <v/>
      </c>
      <c r="AX11" s="10">
        <f>IF(OR($C11="",$D11=""),"",IF(AND(DATE($B$1,1,1)+(46-1)*7&lt;=$D11,DATE($B$1,1,1)+46*7-1&gt;=$C11),1,""))</f>
        <v/>
      </c>
      <c r="AY11" s="10">
        <f>IF(OR($C11="",$D11=""),"",IF(AND(DATE($B$1,1,1)+(47-1)*7&lt;=$D11,DATE($B$1,1,1)+47*7-1&gt;=$C11),1,""))</f>
        <v/>
      </c>
      <c r="AZ11" s="10">
        <f>IF(OR($C11="",$D11=""),"",IF(AND(DATE($B$1,1,1)+(48-1)*7&lt;=$D11,DATE($B$1,1,1)+48*7-1&gt;=$C11),1,""))</f>
        <v/>
      </c>
      <c r="BA11" s="10">
        <f>IF(OR($C11="",$D11=""),"",IF(AND(DATE($B$1,1,1)+(49-1)*7&lt;=$D11,DATE($B$1,1,1)+49*7-1&gt;=$C11),1,""))</f>
        <v/>
      </c>
      <c r="BB11" s="10">
        <f>IF(OR($C11="",$D11=""),"",IF(AND(DATE($B$1,1,1)+(50-1)*7&lt;=$D11,DATE($B$1,1,1)+50*7-1&gt;=$C11),1,""))</f>
        <v/>
      </c>
      <c r="BC11" s="10">
        <f>IF(OR($C11="",$D11=""),"",IF(AND(DATE($B$1,1,1)+(51-1)*7&lt;=$D11,DATE($B$1,1,1)+51*7-1&gt;=$C11),1,""))</f>
        <v/>
      </c>
      <c r="BD11" s="10">
        <f>IF(OR($C11="",$D11=""),"",IF(AND(DATE($B$1,1,1)+(52-1)*7&lt;=$D11,DATE($B$1,1,1)+52*7-1&gt;=$C11),1,""))</f>
        <v/>
      </c>
      <c r="BE11" s="10">
        <f>IF(OR($C11="",$D11=""),"",IF(AND(DATE($B$1,1,1)+(53-1)*7&lt;=$D11,DATE($B$1,1,1)+53*7-1&gt;=$C11),1,""))</f>
        <v/>
      </c>
      <c r="BF11" s="10">
        <f>IF(OR($C11="",$D11=""),"",IF(AND(DATE($B$1,1,1)+(54-1)*7&lt;=$D11,DATE($B$1,1,1)+54*7-1&gt;=$C11),1,""))</f>
        <v/>
      </c>
    </row>
    <row r="12">
      <c r="A12" s="6" t="n"/>
      <c r="B12" s="6" t="n"/>
      <c r="C12" s="11" t="n"/>
      <c r="D12" s="11" t="n"/>
      <c r="E12" s="10">
        <f>IF(OR($C12="",$D12=""),"",IF(AND(DATE($B$1,1,1)+(1-1)*7&lt;=$D12,DATE($B$1,1,1)+1*7-1&gt;=$C12),1,""))</f>
        <v/>
      </c>
      <c r="F12" s="10">
        <f>IF(OR($C12="",$D12=""),"",IF(AND(DATE($B$1,1,1)+(2-1)*7&lt;=$D12,DATE($B$1,1,1)+2*7-1&gt;=$C12),1,""))</f>
        <v/>
      </c>
      <c r="G12" s="10">
        <f>IF(OR($C12="",$D12=""),"",IF(AND(DATE($B$1,1,1)+(3-1)*7&lt;=$D12,DATE($B$1,1,1)+3*7-1&gt;=$C12),1,""))</f>
        <v/>
      </c>
      <c r="H12" s="10">
        <f>IF(OR($C12="",$D12=""),"",IF(AND(DATE($B$1,1,1)+(4-1)*7&lt;=$D12,DATE($B$1,1,1)+4*7-1&gt;=$C12),1,""))</f>
        <v/>
      </c>
      <c r="I12" s="10">
        <f>IF(OR($C12="",$D12=""),"",IF(AND(DATE($B$1,1,1)+(5-1)*7&lt;=$D12,DATE($B$1,1,1)+5*7-1&gt;=$C12),1,""))</f>
        <v/>
      </c>
      <c r="J12" s="10">
        <f>IF(OR($C12="",$D12=""),"",IF(AND(DATE($B$1,1,1)+(6-1)*7&lt;=$D12,DATE($B$1,1,1)+6*7-1&gt;=$C12),1,""))</f>
        <v/>
      </c>
      <c r="K12" s="10">
        <f>IF(OR($C12="",$D12=""),"",IF(AND(DATE($B$1,1,1)+(7-1)*7&lt;=$D12,DATE($B$1,1,1)+7*7-1&gt;=$C12),1,""))</f>
        <v/>
      </c>
      <c r="L12" s="10">
        <f>IF(OR($C12="",$D12=""),"",IF(AND(DATE($B$1,1,1)+(8-1)*7&lt;=$D12,DATE($B$1,1,1)+8*7-1&gt;=$C12),1,""))</f>
        <v/>
      </c>
      <c r="M12" s="10">
        <f>IF(OR($C12="",$D12=""),"",IF(AND(DATE($B$1,1,1)+(9-1)*7&lt;=$D12,DATE($B$1,1,1)+9*7-1&gt;=$C12),1,""))</f>
        <v/>
      </c>
      <c r="N12" s="10">
        <f>IF(OR($C12="",$D12=""),"",IF(AND(DATE($B$1,1,1)+(10-1)*7&lt;=$D12,DATE($B$1,1,1)+10*7-1&gt;=$C12),1,""))</f>
        <v/>
      </c>
      <c r="O12" s="10">
        <f>IF(OR($C12="",$D12=""),"",IF(AND(DATE($B$1,1,1)+(11-1)*7&lt;=$D12,DATE($B$1,1,1)+11*7-1&gt;=$C12),1,""))</f>
        <v/>
      </c>
      <c r="P12" s="10">
        <f>IF(OR($C12="",$D12=""),"",IF(AND(DATE($B$1,1,1)+(12-1)*7&lt;=$D12,DATE($B$1,1,1)+12*7-1&gt;=$C12),1,""))</f>
        <v/>
      </c>
      <c r="Q12" s="10">
        <f>IF(OR($C12="",$D12=""),"",IF(AND(DATE($B$1,1,1)+(13-1)*7&lt;=$D12,DATE($B$1,1,1)+13*7-1&gt;=$C12),1,""))</f>
        <v/>
      </c>
      <c r="R12" s="10">
        <f>IF(OR($C12="",$D12=""),"",IF(AND(DATE($B$1,1,1)+(14-1)*7&lt;=$D12,DATE($B$1,1,1)+14*7-1&gt;=$C12),1,""))</f>
        <v/>
      </c>
      <c r="S12" s="10">
        <f>IF(OR($C12="",$D12=""),"",IF(AND(DATE($B$1,1,1)+(15-1)*7&lt;=$D12,DATE($B$1,1,1)+15*7-1&gt;=$C12),1,""))</f>
        <v/>
      </c>
      <c r="T12" s="10">
        <f>IF(OR($C12="",$D12=""),"",IF(AND(DATE($B$1,1,1)+(16-1)*7&lt;=$D12,DATE($B$1,1,1)+16*7-1&gt;=$C12),1,""))</f>
        <v/>
      </c>
      <c r="U12" s="10">
        <f>IF(OR($C12="",$D12=""),"",IF(AND(DATE($B$1,1,1)+(17-1)*7&lt;=$D12,DATE($B$1,1,1)+17*7-1&gt;=$C12),1,""))</f>
        <v/>
      </c>
      <c r="V12" s="10">
        <f>IF(OR($C12="",$D12=""),"",IF(AND(DATE($B$1,1,1)+(18-1)*7&lt;=$D12,DATE($B$1,1,1)+18*7-1&gt;=$C12),1,""))</f>
        <v/>
      </c>
      <c r="W12" s="10">
        <f>IF(OR($C12="",$D12=""),"",IF(AND(DATE($B$1,1,1)+(19-1)*7&lt;=$D12,DATE($B$1,1,1)+19*7-1&gt;=$C12),1,""))</f>
        <v/>
      </c>
      <c r="X12" s="10">
        <f>IF(OR($C12="",$D12=""),"",IF(AND(DATE($B$1,1,1)+(20-1)*7&lt;=$D12,DATE($B$1,1,1)+20*7-1&gt;=$C12),1,""))</f>
        <v/>
      </c>
      <c r="Y12" s="10">
        <f>IF(OR($C12="",$D12=""),"",IF(AND(DATE($B$1,1,1)+(21-1)*7&lt;=$D12,DATE($B$1,1,1)+21*7-1&gt;=$C12),1,""))</f>
        <v/>
      </c>
      <c r="Z12" s="10">
        <f>IF(OR($C12="",$D12=""),"",IF(AND(DATE($B$1,1,1)+(22-1)*7&lt;=$D12,DATE($B$1,1,1)+22*7-1&gt;=$C12),1,""))</f>
        <v/>
      </c>
      <c r="AA12" s="10">
        <f>IF(OR($C12="",$D12=""),"",IF(AND(DATE($B$1,1,1)+(23-1)*7&lt;=$D12,DATE($B$1,1,1)+23*7-1&gt;=$C12),1,""))</f>
        <v/>
      </c>
      <c r="AB12" s="10">
        <f>IF(OR($C12="",$D12=""),"",IF(AND(DATE($B$1,1,1)+(24-1)*7&lt;=$D12,DATE($B$1,1,1)+24*7-1&gt;=$C12),1,""))</f>
        <v/>
      </c>
      <c r="AC12" s="10">
        <f>IF(OR($C12="",$D12=""),"",IF(AND(DATE($B$1,1,1)+(25-1)*7&lt;=$D12,DATE($B$1,1,1)+25*7-1&gt;=$C12),1,""))</f>
        <v/>
      </c>
      <c r="AD12" s="10">
        <f>IF(OR($C12="",$D12=""),"",IF(AND(DATE($B$1,1,1)+(26-1)*7&lt;=$D12,DATE($B$1,1,1)+26*7-1&gt;=$C12),1,""))</f>
        <v/>
      </c>
      <c r="AE12" s="10">
        <f>IF(OR($C12="",$D12=""),"",IF(AND(DATE($B$1,1,1)+(27-1)*7&lt;=$D12,DATE($B$1,1,1)+27*7-1&gt;=$C12),1,""))</f>
        <v/>
      </c>
      <c r="AF12" s="10">
        <f>IF(OR($C12="",$D12=""),"",IF(AND(DATE($B$1,1,1)+(28-1)*7&lt;=$D12,DATE($B$1,1,1)+28*7-1&gt;=$C12),1,""))</f>
        <v/>
      </c>
      <c r="AG12" s="10">
        <f>IF(OR($C12="",$D12=""),"",IF(AND(DATE($B$1,1,1)+(29-1)*7&lt;=$D12,DATE($B$1,1,1)+29*7-1&gt;=$C12),1,""))</f>
        <v/>
      </c>
      <c r="AH12" s="10">
        <f>IF(OR($C12="",$D12=""),"",IF(AND(DATE($B$1,1,1)+(30-1)*7&lt;=$D12,DATE($B$1,1,1)+30*7-1&gt;=$C12),1,""))</f>
        <v/>
      </c>
      <c r="AI12" s="10">
        <f>IF(OR($C12="",$D12=""),"",IF(AND(DATE($B$1,1,1)+(31-1)*7&lt;=$D12,DATE($B$1,1,1)+31*7-1&gt;=$C12),1,""))</f>
        <v/>
      </c>
      <c r="AJ12" s="10">
        <f>IF(OR($C12="",$D12=""),"",IF(AND(DATE($B$1,1,1)+(32-1)*7&lt;=$D12,DATE($B$1,1,1)+32*7-1&gt;=$C12),1,""))</f>
        <v/>
      </c>
      <c r="AK12" s="10">
        <f>IF(OR($C12="",$D12=""),"",IF(AND(DATE($B$1,1,1)+(33-1)*7&lt;=$D12,DATE($B$1,1,1)+33*7-1&gt;=$C12),1,""))</f>
        <v/>
      </c>
      <c r="AL12" s="10">
        <f>IF(OR($C12="",$D12=""),"",IF(AND(DATE($B$1,1,1)+(34-1)*7&lt;=$D12,DATE($B$1,1,1)+34*7-1&gt;=$C12),1,""))</f>
        <v/>
      </c>
      <c r="AM12" s="10">
        <f>IF(OR($C12="",$D12=""),"",IF(AND(DATE($B$1,1,1)+(35-1)*7&lt;=$D12,DATE($B$1,1,1)+35*7-1&gt;=$C12),1,""))</f>
        <v/>
      </c>
      <c r="AN12" s="10">
        <f>IF(OR($C12="",$D12=""),"",IF(AND(DATE($B$1,1,1)+(36-1)*7&lt;=$D12,DATE($B$1,1,1)+36*7-1&gt;=$C12),1,""))</f>
        <v/>
      </c>
      <c r="AO12" s="10">
        <f>IF(OR($C12="",$D12=""),"",IF(AND(DATE($B$1,1,1)+(37-1)*7&lt;=$D12,DATE($B$1,1,1)+37*7-1&gt;=$C12),1,""))</f>
        <v/>
      </c>
      <c r="AP12" s="10">
        <f>IF(OR($C12="",$D12=""),"",IF(AND(DATE($B$1,1,1)+(38-1)*7&lt;=$D12,DATE($B$1,1,1)+38*7-1&gt;=$C12),1,""))</f>
        <v/>
      </c>
      <c r="AQ12" s="10">
        <f>IF(OR($C12="",$D12=""),"",IF(AND(DATE($B$1,1,1)+(39-1)*7&lt;=$D12,DATE($B$1,1,1)+39*7-1&gt;=$C12),1,""))</f>
        <v/>
      </c>
      <c r="AR12" s="10">
        <f>IF(OR($C12="",$D12=""),"",IF(AND(DATE($B$1,1,1)+(40-1)*7&lt;=$D12,DATE($B$1,1,1)+40*7-1&gt;=$C12),1,""))</f>
        <v/>
      </c>
      <c r="AS12" s="10">
        <f>IF(OR($C12="",$D12=""),"",IF(AND(DATE($B$1,1,1)+(41-1)*7&lt;=$D12,DATE($B$1,1,1)+41*7-1&gt;=$C12),1,""))</f>
        <v/>
      </c>
      <c r="AT12" s="10">
        <f>IF(OR($C12="",$D12=""),"",IF(AND(DATE($B$1,1,1)+(42-1)*7&lt;=$D12,DATE($B$1,1,1)+42*7-1&gt;=$C12),1,""))</f>
        <v/>
      </c>
      <c r="AU12" s="10">
        <f>IF(OR($C12="",$D12=""),"",IF(AND(DATE($B$1,1,1)+(43-1)*7&lt;=$D12,DATE($B$1,1,1)+43*7-1&gt;=$C12),1,""))</f>
        <v/>
      </c>
      <c r="AV12" s="10">
        <f>IF(OR($C12="",$D12=""),"",IF(AND(DATE($B$1,1,1)+(44-1)*7&lt;=$D12,DATE($B$1,1,1)+44*7-1&gt;=$C12),1,""))</f>
        <v/>
      </c>
      <c r="AW12" s="10">
        <f>IF(OR($C12="",$D12=""),"",IF(AND(DATE($B$1,1,1)+(45-1)*7&lt;=$D12,DATE($B$1,1,1)+45*7-1&gt;=$C12),1,""))</f>
        <v/>
      </c>
      <c r="AX12" s="10">
        <f>IF(OR($C12="",$D12=""),"",IF(AND(DATE($B$1,1,1)+(46-1)*7&lt;=$D12,DATE($B$1,1,1)+46*7-1&gt;=$C12),1,""))</f>
        <v/>
      </c>
      <c r="AY12" s="10">
        <f>IF(OR($C12="",$D12=""),"",IF(AND(DATE($B$1,1,1)+(47-1)*7&lt;=$D12,DATE($B$1,1,1)+47*7-1&gt;=$C12),1,""))</f>
        <v/>
      </c>
      <c r="AZ12" s="10">
        <f>IF(OR($C12="",$D12=""),"",IF(AND(DATE($B$1,1,1)+(48-1)*7&lt;=$D12,DATE($B$1,1,1)+48*7-1&gt;=$C12),1,""))</f>
        <v/>
      </c>
      <c r="BA12" s="10">
        <f>IF(OR($C12="",$D12=""),"",IF(AND(DATE($B$1,1,1)+(49-1)*7&lt;=$D12,DATE($B$1,1,1)+49*7-1&gt;=$C12),1,""))</f>
        <v/>
      </c>
      <c r="BB12" s="10">
        <f>IF(OR($C12="",$D12=""),"",IF(AND(DATE($B$1,1,1)+(50-1)*7&lt;=$D12,DATE($B$1,1,1)+50*7-1&gt;=$C12),1,""))</f>
        <v/>
      </c>
      <c r="BC12" s="10">
        <f>IF(OR($C12="",$D12=""),"",IF(AND(DATE($B$1,1,1)+(51-1)*7&lt;=$D12,DATE($B$1,1,1)+51*7-1&gt;=$C12),1,""))</f>
        <v/>
      </c>
      <c r="BD12" s="10">
        <f>IF(OR($C12="",$D12=""),"",IF(AND(DATE($B$1,1,1)+(52-1)*7&lt;=$D12,DATE($B$1,1,1)+52*7-1&gt;=$C12),1,""))</f>
        <v/>
      </c>
      <c r="BE12" s="10">
        <f>IF(OR($C12="",$D12=""),"",IF(AND(DATE($B$1,1,1)+(53-1)*7&lt;=$D12,DATE($B$1,1,1)+53*7-1&gt;=$C12),1,""))</f>
        <v/>
      </c>
      <c r="BF12" s="10">
        <f>IF(OR($C12="",$D12=""),"",IF(AND(DATE($B$1,1,1)+(54-1)*7&lt;=$D12,DATE($B$1,1,1)+54*7-1&gt;=$C12),1,""))</f>
        <v/>
      </c>
    </row>
    <row r="13">
      <c r="A13" s="6" t="n"/>
      <c r="B13" s="6" t="n"/>
      <c r="C13" s="11" t="n"/>
      <c r="D13" s="11" t="n"/>
      <c r="E13" s="10">
        <f>IF(OR($C13="",$D13=""),"",IF(AND(DATE($B$1,1,1)+(1-1)*7&lt;=$D13,DATE($B$1,1,1)+1*7-1&gt;=$C13),1,""))</f>
        <v/>
      </c>
      <c r="F13" s="10">
        <f>IF(OR($C13="",$D13=""),"",IF(AND(DATE($B$1,1,1)+(2-1)*7&lt;=$D13,DATE($B$1,1,1)+2*7-1&gt;=$C13),1,""))</f>
        <v/>
      </c>
      <c r="G13" s="10">
        <f>IF(OR($C13="",$D13=""),"",IF(AND(DATE($B$1,1,1)+(3-1)*7&lt;=$D13,DATE($B$1,1,1)+3*7-1&gt;=$C13),1,""))</f>
        <v/>
      </c>
      <c r="H13" s="10">
        <f>IF(OR($C13="",$D13=""),"",IF(AND(DATE($B$1,1,1)+(4-1)*7&lt;=$D13,DATE($B$1,1,1)+4*7-1&gt;=$C13),1,""))</f>
        <v/>
      </c>
      <c r="I13" s="10">
        <f>IF(OR($C13="",$D13=""),"",IF(AND(DATE($B$1,1,1)+(5-1)*7&lt;=$D13,DATE($B$1,1,1)+5*7-1&gt;=$C13),1,""))</f>
        <v/>
      </c>
      <c r="J13" s="10">
        <f>IF(OR($C13="",$D13=""),"",IF(AND(DATE($B$1,1,1)+(6-1)*7&lt;=$D13,DATE($B$1,1,1)+6*7-1&gt;=$C13),1,""))</f>
        <v/>
      </c>
      <c r="K13" s="10">
        <f>IF(OR($C13="",$D13=""),"",IF(AND(DATE($B$1,1,1)+(7-1)*7&lt;=$D13,DATE($B$1,1,1)+7*7-1&gt;=$C13),1,""))</f>
        <v/>
      </c>
      <c r="L13" s="10">
        <f>IF(OR($C13="",$D13=""),"",IF(AND(DATE($B$1,1,1)+(8-1)*7&lt;=$D13,DATE($B$1,1,1)+8*7-1&gt;=$C13),1,""))</f>
        <v/>
      </c>
      <c r="M13" s="10">
        <f>IF(OR($C13="",$D13=""),"",IF(AND(DATE($B$1,1,1)+(9-1)*7&lt;=$D13,DATE($B$1,1,1)+9*7-1&gt;=$C13),1,""))</f>
        <v/>
      </c>
      <c r="N13" s="10">
        <f>IF(OR($C13="",$D13=""),"",IF(AND(DATE($B$1,1,1)+(10-1)*7&lt;=$D13,DATE($B$1,1,1)+10*7-1&gt;=$C13),1,""))</f>
        <v/>
      </c>
      <c r="O13" s="10">
        <f>IF(OR($C13="",$D13=""),"",IF(AND(DATE($B$1,1,1)+(11-1)*7&lt;=$D13,DATE($B$1,1,1)+11*7-1&gt;=$C13),1,""))</f>
        <v/>
      </c>
      <c r="P13" s="10">
        <f>IF(OR($C13="",$D13=""),"",IF(AND(DATE($B$1,1,1)+(12-1)*7&lt;=$D13,DATE($B$1,1,1)+12*7-1&gt;=$C13),1,""))</f>
        <v/>
      </c>
      <c r="Q13" s="10">
        <f>IF(OR($C13="",$D13=""),"",IF(AND(DATE($B$1,1,1)+(13-1)*7&lt;=$D13,DATE($B$1,1,1)+13*7-1&gt;=$C13),1,""))</f>
        <v/>
      </c>
      <c r="R13" s="10">
        <f>IF(OR($C13="",$D13=""),"",IF(AND(DATE($B$1,1,1)+(14-1)*7&lt;=$D13,DATE($B$1,1,1)+14*7-1&gt;=$C13),1,""))</f>
        <v/>
      </c>
      <c r="S13" s="10">
        <f>IF(OR($C13="",$D13=""),"",IF(AND(DATE($B$1,1,1)+(15-1)*7&lt;=$D13,DATE($B$1,1,1)+15*7-1&gt;=$C13),1,""))</f>
        <v/>
      </c>
      <c r="T13" s="10">
        <f>IF(OR($C13="",$D13=""),"",IF(AND(DATE($B$1,1,1)+(16-1)*7&lt;=$D13,DATE($B$1,1,1)+16*7-1&gt;=$C13),1,""))</f>
        <v/>
      </c>
      <c r="U13" s="10">
        <f>IF(OR($C13="",$D13=""),"",IF(AND(DATE($B$1,1,1)+(17-1)*7&lt;=$D13,DATE($B$1,1,1)+17*7-1&gt;=$C13),1,""))</f>
        <v/>
      </c>
      <c r="V13" s="10">
        <f>IF(OR($C13="",$D13=""),"",IF(AND(DATE($B$1,1,1)+(18-1)*7&lt;=$D13,DATE($B$1,1,1)+18*7-1&gt;=$C13),1,""))</f>
        <v/>
      </c>
      <c r="W13" s="10">
        <f>IF(OR($C13="",$D13=""),"",IF(AND(DATE($B$1,1,1)+(19-1)*7&lt;=$D13,DATE($B$1,1,1)+19*7-1&gt;=$C13),1,""))</f>
        <v/>
      </c>
      <c r="X13" s="10">
        <f>IF(OR($C13="",$D13=""),"",IF(AND(DATE($B$1,1,1)+(20-1)*7&lt;=$D13,DATE($B$1,1,1)+20*7-1&gt;=$C13),1,""))</f>
        <v/>
      </c>
      <c r="Y13" s="10">
        <f>IF(OR($C13="",$D13=""),"",IF(AND(DATE($B$1,1,1)+(21-1)*7&lt;=$D13,DATE($B$1,1,1)+21*7-1&gt;=$C13),1,""))</f>
        <v/>
      </c>
      <c r="Z13" s="10">
        <f>IF(OR($C13="",$D13=""),"",IF(AND(DATE($B$1,1,1)+(22-1)*7&lt;=$D13,DATE($B$1,1,1)+22*7-1&gt;=$C13),1,""))</f>
        <v/>
      </c>
      <c r="AA13" s="10">
        <f>IF(OR($C13="",$D13=""),"",IF(AND(DATE($B$1,1,1)+(23-1)*7&lt;=$D13,DATE($B$1,1,1)+23*7-1&gt;=$C13),1,""))</f>
        <v/>
      </c>
      <c r="AB13" s="10">
        <f>IF(OR($C13="",$D13=""),"",IF(AND(DATE($B$1,1,1)+(24-1)*7&lt;=$D13,DATE($B$1,1,1)+24*7-1&gt;=$C13),1,""))</f>
        <v/>
      </c>
      <c r="AC13" s="10">
        <f>IF(OR($C13="",$D13=""),"",IF(AND(DATE($B$1,1,1)+(25-1)*7&lt;=$D13,DATE($B$1,1,1)+25*7-1&gt;=$C13),1,""))</f>
        <v/>
      </c>
      <c r="AD13" s="10">
        <f>IF(OR($C13="",$D13=""),"",IF(AND(DATE($B$1,1,1)+(26-1)*7&lt;=$D13,DATE($B$1,1,1)+26*7-1&gt;=$C13),1,""))</f>
        <v/>
      </c>
      <c r="AE13" s="10">
        <f>IF(OR($C13="",$D13=""),"",IF(AND(DATE($B$1,1,1)+(27-1)*7&lt;=$D13,DATE($B$1,1,1)+27*7-1&gt;=$C13),1,""))</f>
        <v/>
      </c>
      <c r="AF13" s="10">
        <f>IF(OR($C13="",$D13=""),"",IF(AND(DATE($B$1,1,1)+(28-1)*7&lt;=$D13,DATE($B$1,1,1)+28*7-1&gt;=$C13),1,""))</f>
        <v/>
      </c>
      <c r="AG13" s="10">
        <f>IF(OR($C13="",$D13=""),"",IF(AND(DATE($B$1,1,1)+(29-1)*7&lt;=$D13,DATE($B$1,1,1)+29*7-1&gt;=$C13),1,""))</f>
        <v/>
      </c>
      <c r="AH13" s="10">
        <f>IF(OR($C13="",$D13=""),"",IF(AND(DATE($B$1,1,1)+(30-1)*7&lt;=$D13,DATE($B$1,1,1)+30*7-1&gt;=$C13),1,""))</f>
        <v/>
      </c>
      <c r="AI13" s="10">
        <f>IF(OR($C13="",$D13=""),"",IF(AND(DATE($B$1,1,1)+(31-1)*7&lt;=$D13,DATE($B$1,1,1)+31*7-1&gt;=$C13),1,""))</f>
        <v/>
      </c>
      <c r="AJ13" s="10">
        <f>IF(OR($C13="",$D13=""),"",IF(AND(DATE($B$1,1,1)+(32-1)*7&lt;=$D13,DATE($B$1,1,1)+32*7-1&gt;=$C13),1,""))</f>
        <v/>
      </c>
      <c r="AK13" s="10">
        <f>IF(OR($C13="",$D13=""),"",IF(AND(DATE($B$1,1,1)+(33-1)*7&lt;=$D13,DATE($B$1,1,1)+33*7-1&gt;=$C13),1,""))</f>
        <v/>
      </c>
      <c r="AL13" s="10">
        <f>IF(OR($C13="",$D13=""),"",IF(AND(DATE($B$1,1,1)+(34-1)*7&lt;=$D13,DATE($B$1,1,1)+34*7-1&gt;=$C13),1,""))</f>
        <v/>
      </c>
      <c r="AM13" s="10">
        <f>IF(OR($C13="",$D13=""),"",IF(AND(DATE($B$1,1,1)+(35-1)*7&lt;=$D13,DATE($B$1,1,1)+35*7-1&gt;=$C13),1,""))</f>
        <v/>
      </c>
      <c r="AN13" s="10">
        <f>IF(OR($C13="",$D13=""),"",IF(AND(DATE($B$1,1,1)+(36-1)*7&lt;=$D13,DATE($B$1,1,1)+36*7-1&gt;=$C13),1,""))</f>
        <v/>
      </c>
      <c r="AO13" s="10">
        <f>IF(OR($C13="",$D13=""),"",IF(AND(DATE($B$1,1,1)+(37-1)*7&lt;=$D13,DATE($B$1,1,1)+37*7-1&gt;=$C13),1,""))</f>
        <v/>
      </c>
      <c r="AP13" s="10">
        <f>IF(OR($C13="",$D13=""),"",IF(AND(DATE($B$1,1,1)+(38-1)*7&lt;=$D13,DATE($B$1,1,1)+38*7-1&gt;=$C13),1,""))</f>
        <v/>
      </c>
      <c r="AQ13" s="10">
        <f>IF(OR($C13="",$D13=""),"",IF(AND(DATE($B$1,1,1)+(39-1)*7&lt;=$D13,DATE($B$1,1,1)+39*7-1&gt;=$C13),1,""))</f>
        <v/>
      </c>
      <c r="AR13" s="10">
        <f>IF(OR($C13="",$D13=""),"",IF(AND(DATE($B$1,1,1)+(40-1)*7&lt;=$D13,DATE($B$1,1,1)+40*7-1&gt;=$C13),1,""))</f>
        <v/>
      </c>
      <c r="AS13" s="10">
        <f>IF(OR($C13="",$D13=""),"",IF(AND(DATE($B$1,1,1)+(41-1)*7&lt;=$D13,DATE($B$1,1,1)+41*7-1&gt;=$C13),1,""))</f>
        <v/>
      </c>
      <c r="AT13" s="10">
        <f>IF(OR($C13="",$D13=""),"",IF(AND(DATE($B$1,1,1)+(42-1)*7&lt;=$D13,DATE($B$1,1,1)+42*7-1&gt;=$C13),1,""))</f>
        <v/>
      </c>
      <c r="AU13" s="10">
        <f>IF(OR($C13="",$D13=""),"",IF(AND(DATE($B$1,1,1)+(43-1)*7&lt;=$D13,DATE($B$1,1,1)+43*7-1&gt;=$C13),1,""))</f>
        <v/>
      </c>
      <c r="AV13" s="10">
        <f>IF(OR($C13="",$D13=""),"",IF(AND(DATE($B$1,1,1)+(44-1)*7&lt;=$D13,DATE($B$1,1,1)+44*7-1&gt;=$C13),1,""))</f>
        <v/>
      </c>
      <c r="AW13" s="10">
        <f>IF(OR($C13="",$D13=""),"",IF(AND(DATE($B$1,1,1)+(45-1)*7&lt;=$D13,DATE($B$1,1,1)+45*7-1&gt;=$C13),1,""))</f>
        <v/>
      </c>
      <c r="AX13" s="10">
        <f>IF(OR($C13="",$D13=""),"",IF(AND(DATE($B$1,1,1)+(46-1)*7&lt;=$D13,DATE($B$1,1,1)+46*7-1&gt;=$C13),1,""))</f>
        <v/>
      </c>
      <c r="AY13" s="10">
        <f>IF(OR($C13="",$D13=""),"",IF(AND(DATE($B$1,1,1)+(47-1)*7&lt;=$D13,DATE($B$1,1,1)+47*7-1&gt;=$C13),1,""))</f>
        <v/>
      </c>
      <c r="AZ13" s="10">
        <f>IF(OR($C13="",$D13=""),"",IF(AND(DATE($B$1,1,1)+(48-1)*7&lt;=$D13,DATE($B$1,1,1)+48*7-1&gt;=$C13),1,""))</f>
        <v/>
      </c>
      <c r="BA13" s="10">
        <f>IF(OR($C13="",$D13=""),"",IF(AND(DATE($B$1,1,1)+(49-1)*7&lt;=$D13,DATE($B$1,1,1)+49*7-1&gt;=$C13),1,""))</f>
        <v/>
      </c>
      <c r="BB13" s="10">
        <f>IF(OR($C13="",$D13=""),"",IF(AND(DATE($B$1,1,1)+(50-1)*7&lt;=$D13,DATE($B$1,1,1)+50*7-1&gt;=$C13),1,""))</f>
        <v/>
      </c>
      <c r="BC13" s="10">
        <f>IF(OR($C13="",$D13=""),"",IF(AND(DATE($B$1,1,1)+(51-1)*7&lt;=$D13,DATE($B$1,1,1)+51*7-1&gt;=$C13),1,""))</f>
        <v/>
      </c>
      <c r="BD13" s="10">
        <f>IF(OR($C13="",$D13=""),"",IF(AND(DATE($B$1,1,1)+(52-1)*7&lt;=$D13,DATE($B$1,1,1)+52*7-1&gt;=$C13),1,""))</f>
        <v/>
      </c>
      <c r="BE13" s="10">
        <f>IF(OR($C13="",$D13=""),"",IF(AND(DATE($B$1,1,1)+(53-1)*7&lt;=$D13,DATE($B$1,1,1)+53*7-1&gt;=$C13),1,""))</f>
        <v/>
      </c>
      <c r="BF13" s="10">
        <f>IF(OR($C13="",$D13=""),"",IF(AND(DATE($B$1,1,1)+(54-1)*7&lt;=$D13,DATE($B$1,1,1)+54*7-1&gt;=$C13),1,""))</f>
        <v/>
      </c>
    </row>
    <row r="14">
      <c r="A14" s="6" t="n"/>
      <c r="B14" s="6" t="n"/>
      <c r="C14" s="11" t="n"/>
      <c r="D14" s="11" t="n"/>
      <c r="E14" s="10">
        <f>IF(OR($C14="",$D14=""),"",IF(AND(DATE($B$1,1,1)+(1-1)*7&lt;=$D14,DATE($B$1,1,1)+1*7-1&gt;=$C14),1,""))</f>
        <v/>
      </c>
      <c r="F14" s="10">
        <f>IF(OR($C14="",$D14=""),"",IF(AND(DATE($B$1,1,1)+(2-1)*7&lt;=$D14,DATE($B$1,1,1)+2*7-1&gt;=$C14),1,""))</f>
        <v/>
      </c>
      <c r="G14" s="10">
        <f>IF(OR($C14="",$D14=""),"",IF(AND(DATE($B$1,1,1)+(3-1)*7&lt;=$D14,DATE($B$1,1,1)+3*7-1&gt;=$C14),1,""))</f>
        <v/>
      </c>
      <c r="H14" s="10">
        <f>IF(OR($C14="",$D14=""),"",IF(AND(DATE($B$1,1,1)+(4-1)*7&lt;=$D14,DATE($B$1,1,1)+4*7-1&gt;=$C14),1,""))</f>
        <v/>
      </c>
      <c r="I14" s="10">
        <f>IF(OR($C14="",$D14=""),"",IF(AND(DATE($B$1,1,1)+(5-1)*7&lt;=$D14,DATE($B$1,1,1)+5*7-1&gt;=$C14),1,""))</f>
        <v/>
      </c>
      <c r="J14" s="10">
        <f>IF(OR($C14="",$D14=""),"",IF(AND(DATE($B$1,1,1)+(6-1)*7&lt;=$D14,DATE($B$1,1,1)+6*7-1&gt;=$C14),1,""))</f>
        <v/>
      </c>
      <c r="K14" s="10">
        <f>IF(OR($C14="",$D14=""),"",IF(AND(DATE($B$1,1,1)+(7-1)*7&lt;=$D14,DATE($B$1,1,1)+7*7-1&gt;=$C14),1,""))</f>
        <v/>
      </c>
      <c r="L14" s="10">
        <f>IF(OR($C14="",$D14=""),"",IF(AND(DATE($B$1,1,1)+(8-1)*7&lt;=$D14,DATE($B$1,1,1)+8*7-1&gt;=$C14),1,""))</f>
        <v/>
      </c>
      <c r="M14" s="10">
        <f>IF(OR($C14="",$D14=""),"",IF(AND(DATE($B$1,1,1)+(9-1)*7&lt;=$D14,DATE($B$1,1,1)+9*7-1&gt;=$C14),1,""))</f>
        <v/>
      </c>
      <c r="N14" s="10">
        <f>IF(OR($C14="",$D14=""),"",IF(AND(DATE($B$1,1,1)+(10-1)*7&lt;=$D14,DATE($B$1,1,1)+10*7-1&gt;=$C14),1,""))</f>
        <v/>
      </c>
      <c r="O14" s="10">
        <f>IF(OR($C14="",$D14=""),"",IF(AND(DATE($B$1,1,1)+(11-1)*7&lt;=$D14,DATE($B$1,1,1)+11*7-1&gt;=$C14),1,""))</f>
        <v/>
      </c>
      <c r="P14" s="10">
        <f>IF(OR($C14="",$D14=""),"",IF(AND(DATE($B$1,1,1)+(12-1)*7&lt;=$D14,DATE($B$1,1,1)+12*7-1&gt;=$C14),1,""))</f>
        <v/>
      </c>
      <c r="Q14" s="10">
        <f>IF(OR($C14="",$D14=""),"",IF(AND(DATE($B$1,1,1)+(13-1)*7&lt;=$D14,DATE($B$1,1,1)+13*7-1&gt;=$C14),1,""))</f>
        <v/>
      </c>
      <c r="R14" s="10">
        <f>IF(OR($C14="",$D14=""),"",IF(AND(DATE($B$1,1,1)+(14-1)*7&lt;=$D14,DATE($B$1,1,1)+14*7-1&gt;=$C14),1,""))</f>
        <v/>
      </c>
      <c r="S14" s="10">
        <f>IF(OR($C14="",$D14=""),"",IF(AND(DATE($B$1,1,1)+(15-1)*7&lt;=$D14,DATE($B$1,1,1)+15*7-1&gt;=$C14),1,""))</f>
        <v/>
      </c>
      <c r="T14" s="10">
        <f>IF(OR($C14="",$D14=""),"",IF(AND(DATE($B$1,1,1)+(16-1)*7&lt;=$D14,DATE($B$1,1,1)+16*7-1&gt;=$C14),1,""))</f>
        <v/>
      </c>
      <c r="U14" s="10">
        <f>IF(OR($C14="",$D14=""),"",IF(AND(DATE($B$1,1,1)+(17-1)*7&lt;=$D14,DATE($B$1,1,1)+17*7-1&gt;=$C14),1,""))</f>
        <v/>
      </c>
      <c r="V14" s="10">
        <f>IF(OR($C14="",$D14=""),"",IF(AND(DATE($B$1,1,1)+(18-1)*7&lt;=$D14,DATE($B$1,1,1)+18*7-1&gt;=$C14),1,""))</f>
        <v/>
      </c>
      <c r="W14" s="10">
        <f>IF(OR($C14="",$D14=""),"",IF(AND(DATE($B$1,1,1)+(19-1)*7&lt;=$D14,DATE($B$1,1,1)+19*7-1&gt;=$C14),1,""))</f>
        <v/>
      </c>
      <c r="X14" s="10">
        <f>IF(OR($C14="",$D14=""),"",IF(AND(DATE($B$1,1,1)+(20-1)*7&lt;=$D14,DATE($B$1,1,1)+20*7-1&gt;=$C14),1,""))</f>
        <v/>
      </c>
      <c r="Y14" s="10">
        <f>IF(OR($C14="",$D14=""),"",IF(AND(DATE($B$1,1,1)+(21-1)*7&lt;=$D14,DATE($B$1,1,1)+21*7-1&gt;=$C14),1,""))</f>
        <v/>
      </c>
      <c r="Z14" s="10">
        <f>IF(OR($C14="",$D14=""),"",IF(AND(DATE($B$1,1,1)+(22-1)*7&lt;=$D14,DATE($B$1,1,1)+22*7-1&gt;=$C14),1,""))</f>
        <v/>
      </c>
      <c r="AA14" s="10">
        <f>IF(OR($C14="",$D14=""),"",IF(AND(DATE($B$1,1,1)+(23-1)*7&lt;=$D14,DATE($B$1,1,1)+23*7-1&gt;=$C14),1,""))</f>
        <v/>
      </c>
      <c r="AB14" s="10">
        <f>IF(OR($C14="",$D14=""),"",IF(AND(DATE($B$1,1,1)+(24-1)*7&lt;=$D14,DATE($B$1,1,1)+24*7-1&gt;=$C14),1,""))</f>
        <v/>
      </c>
      <c r="AC14" s="10">
        <f>IF(OR($C14="",$D14=""),"",IF(AND(DATE($B$1,1,1)+(25-1)*7&lt;=$D14,DATE($B$1,1,1)+25*7-1&gt;=$C14),1,""))</f>
        <v/>
      </c>
      <c r="AD14" s="10">
        <f>IF(OR($C14="",$D14=""),"",IF(AND(DATE($B$1,1,1)+(26-1)*7&lt;=$D14,DATE($B$1,1,1)+26*7-1&gt;=$C14),1,""))</f>
        <v/>
      </c>
      <c r="AE14" s="10">
        <f>IF(OR($C14="",$D14=""),"",IF(AND(DATE($B$1,1,1)+(27-1)*7&lt;=$D14,DATE($B$1,1,1)+27*7-1&gt;=$C14),1,""))</f>
        <v/>
      </c>
      <c r="AF14" s="10">
        <f>IF(OR($C14="",$D14=""),"",IF(AND(DATE($B$1,1,1)+(28-1)*7&lt;=$D14,DATE($B$1,1,1)+28*7-1&gt;=$C14),1,""))</f>
        <v/>
      </c>
      <c r="AG14" s="10">
        <f>IF(OR($C14="",$D14=""),"",IF(AND(DATE($B$1,1,1)+(29-1)*7&lt;=$D14,DATE($B$1,1,1)+29*7-1&gt;=$C14),1,""))</f>
        <v/>
      </c>
      <c r="AH14" s="10">
        <f>IF(OR($C14="",$D14=""),"",IF(AND(DATE($B$1,1,1)+(30-1)*7&lt;=$D14,DATE($B$1,1,1)+30*7-1&gt;=$C14),1,""))</f>
        <v/>
      </c>
      <c r="AI14" s="10">
        <f>IF(OR($C14="",$D14=""),"",IF(AND(DATE($B$1,1,1)+(31-1)*7&lt;=$D14,DATE($B$1,1,1)+31*7-1&gt;=$C14),1,""))</f>
        <v/>
      </c>
      <c r="AJ14" s="10">
        <f>IF(OR($C14="",$D14=""),"",IF(AND(DATE($B$1,1,1)+(32-1)*7&lt;=$D14,DATE($B$1,1,1)+32*7-1&gt;=$C14),1,""))</f>
        <v/>
      </c>
      <c r="AK14" s="10">
        <f>IF(OR($C14="",$D14=""),"",IF(AND(DATE($B$1,1,1)+(33-1)*7&lt;=$D14,DATE($B$1,1,1)+33*7-1&gt;=$C14),1,""))</f>
        <v/>
      </c>
      <c r="AL14" s="10">
        <f>IF(OR($C14="",$D14=""),"",IF(AND(DATE($B$1,1,1)+(34-1)*7&lt;=$D14,DATE($B$1,1,1)+34*7-1&gt;=$C14),1,""))</f>
        <v/>
      </c>
      <c r="AM14" s="10">
        <f>IF(OR($C14="",$D14=""),"",IF(AND(DATE($B$1,1,1)+(35-1)*7&lt;=$D14,DATE($B$1,1,1)+35*7-1&gt;=$C14),1,""))</f>
        <v/>
      </c>
      <c r="AN14" s="10">
        <f>IF(OR($C14="",$D14=""),"",IF(AND(DATE($B$1,1,1)+(36-1)*7&lt;=$D14,DATE($B$1,1,1)+36*7-1&gt;=$C14),1,""))</f>
        <v/>
      </c>
      <c r="AO14" s="10">
        <f>IF(OR($C14="",$D14=""),"",IF(AND(DATE($B$1,1,1)+(37-1)*7&lt;=$D14,DATE($B$1,1,1)+37*7-1&gt;=$C14),1,""))</f>
        <v/>
      </c>
      <c r="AP14" s="10">
        <f>IF(OR($C14="",$D14=""),"",IF(AND(DATE($B$1,1,1)+(38-1)*7&lt;=$D14,DATE($B$1,1,1)+38*7-1&gt;=$C14),1,""))</f>
        <v/>
      </c>
      <c r="AQ14" s="10">
        <f>IF(OR($C14="",$D14=""),"",IF(AND(DATE($B$1,1,1)+(39-1)*7&lt;=$D14,DATE($B$1,1,1)+39*7-1&gt;=$C14),1,""))</f>
        <v/>
      </c>
      <c r="AR14" s="10">
        <f>IF(OR($C14="",$D14=""),"",IF(AND(DATE($B$1,1,1)+(40-1)*7&lt;=$D14,DATE($B$1,1,1)+40*7-1&gt;=$C14),1,""))</f>
        <v/>
      </c>
      <c r="AS14" s="10">
        <f>IF(OR($C14="",$D14=""),"",IF(AND(DATE($B$1,1,1)+(41-1)*7&lt;=$D14,DATE($B$1,1,1)+41*7-1&gt;=$C14),1,""))</f>
        <v/>
      </c>
      <c r="AT14" s="10">
        <f>IF(OR($C14="",$D14=""),"",IF(AND(DATE($B$1,1,1)+(42-1)*7&lt;=$D14,DATE($B$1,1,1)+42*7-1&gt;=$C14),1,""))</f>
        <v/>
      </c>
      <c r="AU14" s="10">
        <f>IF(OR($C14="",$D14=""),"",IF(AND(DATE($B$1,1,1)+(43-1)*7&lt;=$D14,DATE($B$1,1,1)+43*7-1&gt;=$C14),1,""))</f>
        <v/>
      </c>
      <c r="AV14" s="10">
        <f>IF(OR($C14="",$D14=""),"",IF(AND(DATE($B$1,1,1)+(44-1)*7&lt;=$D14,DATE($B$1,1,1)+44*7-1&gt;=$C14),1,""))</f>
        <v/>
      </c>
      <c r="AW14" s="10">
        <f>IF(OR($C14="",$D14=""),"",IF(AND(DATE($B$1,1,1)+(45-1)*7&lt;=$D14,DATE($B$1,1,1)+45*7-1&gt;=$C14),1,""))</f>
        <v/>
      </c>
      <c r="AX14" s="10">
        <f>IF(OR($C14="",$D14=""),"",IF(AND(DATE($B$1,1,1)+(46-1)*7&lt;=$D14,DATE($B$1,1,1)+46*7-1&gt;=$C14),1,""))</f>
        <v/>
      </c>
      <c r="AY14" s="10">
        <f>IF(OR($C14="",$D14=""),"",IF(AND(DATE($B$1,1,1)+(47-1)*7&lt;=$D14,DATE($B$1,1,1)+47*7-1&gt;=$C14),1,""))</f>
        <v/>
      </c>
      <c r="AZ14" s="10">
        <f>IF(OR($C14="",$D14=""),"",IF(AND(DATE($B$1,1,1)+(48-1)*7&lt;=$D14,DATE($B$1,1,1)+48*7-1&gt;=$C14),1,""))</f>
        <v/>
      </c>
      <c r="BA14" s="10">
        <f>IF(OR($C14="",$D14=""),"",IF(AND(DATE($B$1,1,1)+(49-1)*7&lt;=$D14,DATE($B$1,1,1)+49*7-1&gt;=$C14),1,""))</f>
        <v/>
      </c>
      <c r="BB14" s="10">
        <f>IF(OR($C14="",$D14=""),"",IF(AND(DATE($B$1,1,1)+(50-1)*7&lt;=$D14,DATE($B$1,1,1)+50*7-1&gt;=$C14),1,""))</f>
        <v/>
      </c>
      <c r="BC14" s="10">
        <f>IF(OR($C14="",$D14=""),"",IF(AND(DATE($B$1,1,1)+(51-1)*7&lt;=$D14,DATE($B$1,1,1)+51*7-1&gt;=$C14),1,""))</f>
        <v/>
      </c>
      <c r="BD14" s="10">
        <f>IF(OR($C14="",$D14=""),"",IF(AND(DATE($B$1,1,1)+(52-1)*7&lt;=$D14,DATE($B$1,1,1)+52*7-1&gt;=$C14),1,""))</f>
        <v/>
      </c>
      <c r="BE14" s="10">
        <f>IF(OR($C14="",$D14=""),"",IF(AND(DATE($B$1,1,1)+(53-1)*7&lt;=$D14,DATE($B$1,1,1)+53*7-1&gt;=$C14),1,""))</f>
        <v/>
      </c>
      <c r="BF14" s="10">
        <f>IF(OR($C14="",$D14=""),"",IF(AND(DATE($B$1,1,1)+(54-1)*7&lt;=$D14,DATE($B$1,1,1)+54*7-1&gt;=$C14),1,""))</f>
        <v/>
      </c>
    </row>
    <row r="15">
      <c r="A15" s="6" t="n"/>
      <c r="B15" s="6" t="n"/>
      <c r="C15" s="11" t="n"/>
      <c r="D15" s="11" t="n"/>
      <c r="E15" s="10">
        <f>IF(OR($C15="",$D15=""),"",IF(AND(DATE($B$1,1,1)+(1-1)*7&lt;=$D15,DATE($B$1,1,1)+1*7-1&gt;=$C15),1,""))</f>
        <v/>
      </c>
      <c r="F15" s="10">
        <f>IF(OR($C15="",$D15=""),"",IF(AND(DATE($B$1,1,1)+(2-1)*7&lt;=$D15,DATE($B$1,1,1)+2*7-1&gt;=$C15),1,""))</f>
        <v/>
      </c>
      <c r="G15" s="10">
        <f>IF(OR($C15="",$D15=""),"",IF(AND(DATE($B$1,1,1)+(3-1)*7&lt;=$D15,DATE($B$1,1,1)+3*7-1&gt;=$C15),1,""))</f>
        <v/>
      </c>
      <c r="H15" s="10">
        <f>IF(OR($C15="",$D15=""),"",IF(AND(DATE($B$1,1,1)+(4-1)*7&lt;=$D15,DATE($B$1,1,1)+4*7-1&gt;=$C15),1,""))</f>
        <v/>
      </c>
      <c r="I15" s="10">
        <f>IF(OR($C15="",$D15=""),"",IF(AND(DATE($B$1,1,1)+(5-1)*7&lt;=$D15,DATE($B$1,1,1)+5*7-1&gt;=$C15),1,""))</f>
        <v/>
      </c>
      <c r="J15" s="10">
        <f>IF(OR($C15="",$D15=""),"",IF(AND(DATE($B$1,1,1)+(6-1)*7&lt;=$D15,DATE($B$1,1,1)+6*7-1&gt;=$C15),1,""))</f>
        <v/>
      </c>
      <c r="K15" s="10">
        <f>IF(OR($C15="",$D15=""),"",IF(AND(DATE($B$1,1,1)+(7-1)*7&lt;=$D15,DATE($B$1,1,1)+7*7-1&gt;=$C15),1,""))</f>
        <v/>
      </c>
      <c r="L15" s="10">
        <f>IF(OR($C15="",$D15=""),"",IF(AND(DATE($B$1,1,1)+(8-1)*7&lt;=$D15,DATE($B$1,1,1)+8*7-1&gt;=$C15),1,""))</f>
        <v/>
      </c>
      <c r="M15" s="10">
        <f>IF(OR($C15="",$D15=""),"",IF(AND(DATE($B$1,1,1)+(9-1)*7&lt;=$D15,DATE($B$1,1,1)+9*7-1&gt;=$C15),1,""))</f>
        <v/>
      </c>
      <c r="N15" s="10">
        <f>IF(OR($C15="",$D15=""),"",IF(AND(DATE($B$1,1,1)+(10-1)*7&lt;=$D15,DATE($B$1,1,1)+10*7-1&gt;=$C15),1,""))</f>
        <v/>
      </c>
      <c r="O15" s="10">
        <f>IF(OR($C15="",$D15=""),"",IF(AND(DATE($B$1,1,1)+(11-1)*7&lt;=$D15,DATE($B$1,1,1)+11*7-1&gt;=$C15),1,""))</f>
        <v/>
      </c>
      <c r="P15" s="10">
        <f>IF(OR($C15="",$D15=""),"",IF(AND(DATE($B$1,1,1)+(12-1)*7&lt;=$D15,DATE($B$1,1,1)+12*7-1&gt;=$C15),1,""))</f>
        <v/>
      </c>
      <c r="Q15" s="10">
        <f>IF(OR($C15="",$D15=""),"",IF(AND(DATE($B$1,1,1)+(13-1)*7&lt;=$D15,DATE($B$1,1,1)+13*7-1&gt;=$C15),1,""))</f>
        <v/>
      </c>
      <c r="R15" s="10">
        <f>IF(OR($C15="",$D15=""),"",IF(AND(DATE($B$1,1,1)+(14-1)*7&lt;=$D15,DATE($B$1,1,1)+14*7-1&gt;=$C15),1,""))</f>
        <v/>
      </c>
      <c r="S15" s="10">
        <f>IF(OR($C15="",$D15=""),"",IF(AND(DATE($B$1,1,1)+(15-1)*7&lt;=$D15,DATE($B$1,1,1)+15*7-1&gt;=$C15),1,""))</f>
        <v/>
      </c>
      <c r="T15" s="10">
        <f>IF(OR($C15="",$D15=""),"",IF(AND(DATE($B$1,1,1)+(16-1)*7&lt;=$D15,DATE($B$1,1,1)+16*7-1&gt;=$C15),1,""))</f>
        <v/>
      </c>
      <c r="U15" s="10">
        <f>IF(OR($C15="",$D15=""),"",IF(AND(DATE($B$1,1,1)+(17-1)*7&lt;=$D15,DATE($B$1,1,1)+17*7-1&gt;=$C15),1,""))</f>
        <v/>
      </c>
      <c r="V15" s="10">
        <f>IF(OR($C15="",$D15=""),"",IF(AND(DATE($B$1,1,1)+(18-1)*7&lt;=$D15,DATE($B$1,1,1)+18*7-1&gt;=$C15),1,""))</f>
        <v/>
      </c>
      <c r="W15" s="10">
        <f>IF(OR($C15="",$D15=""),"",IF(AND(DATE($B$1,1,1)+(19-1)*7&lt;=$D15,DATE($B$1,1,1)+19*7-1&gt;=$C15),1,""))</f>
        <v/>
      </c>
      <c r="X15" s="10">
        <f>IF(OR($C15="",$D15=""),"",IF(AND(DATE($B$1,1,1)+(20-1)*7&lt;=$D15,DATE($B$1,1,1)+20*7-1&gt;=$C15),1,""))</f>
        <v/>
      </c>
      <c r="Y15" s="10">
        <f>IF(OR($C15="",$D15=""),"",IF(AND(DATE($B$1,1,1)+(21-1)*7&lt;=$D15,DATE($B$1,1,1)+21*7-1&gt;=$C15),1,""))</f>
        <v/>
      </c>
      <c r="Z15" s="10">
        <f>IF(OR($C15="",$D15=""),"",IF(AND(DATE($B$1,1,1)+(22-1)*7&lt;=$D15,DATE($B$1,1,1)+22*7-1&gt;=$C15),1,""))</f>
        <v/>
      </c>
      <c r="AA15" s="10">
        <f>IF(OR($C15="",$D15=""),"",IF(AND(DATE($B$1,1,1)+(23-1)*7&lt;=$D15,DATE($B$1,1,1)+23*7-1&gt;=$C15),1,""))</f>
        <v/>
      </c>
      <c r="AB15" s="10">
        <f>IF(OR($C15="",$D15=""),"",IF(AND(DATE($B$1,1,1)+(24-1)*7&lt;=$D15,DATE($B$1,1,1)+24*7-1&gt;=$C15),1,""))</f>
        <v/>
      </c>
      <c r="AC15" s="10">
        <f>IF(OR($C15="",$D15=""),"",IF(AND(DATE($B$1,1,1)+(25-1)*7&lt;=$D15,DATE($B$1,1,1)+25*7-1&gt;=$C15),1,""))</f>
        <v/>
      </c>
      <c r="AD15" s="10">
        <f>IF(OR($C15="",$D15=""),"",IF(AND(DATE($B$1,1,1)+(26-1)*7&lt;=$D15,DATE($B$1,1,1)+26*7-1&gt;=$C15),1,""))</f>
        <v/>
      </c>
      <c r="AE15" s="10">
        <f>IF(OR($C15="",$D15=""),"",IF(AND(DATE($B$1,1,1)+(27-1)*7&lt;=$D15,DATE($B$1,1,1)+27*7-1&gt;=$C15),1,""))</f>
        <v/>
      </c>
      <c r="AF15" s="10">
        <f>IF(OR($C15="",$D15=""),"",IF(AND(DATE($B$1,1,1)+(28-1)*7&lt;=$D15,DATE($B$1,1,1)+28*7-1&gt;=$C15),1,""))</f>
        <v/>
      </c>
      <c r="AG15" s="10">
        <f>IF(OR($C15="",$D15=""),"",IF(AND(DATE($B$1,1,1)+(29-1)*7&lt;=$D15,DATE($B$1,1,1)+29*7-1&gt;=$C15),1,""))</f>
        <v/>
      </c>
      <c r="AH15" s="10">
        <f>IF(OR($C15="",$D15=""),"",IF(AND(DATE($B$1,1,1)+(30-1)*7&lt;=$D15,DATE($B$1,1,1)+30*7-1&gt;=$C15),1,""))</f>
        <v/>
      </c>
      <c r="AI15" s="10">
        <f>IF(OR($C15="",$D15=""),"",IF(AND(DATE($B$1,1,1)+(31-1)*7&lt;=$D15,DATE($B$1,1,1)+31*7-1&gt;=$C15),1,""))</f>
        <v/>
      </c>
      <c r="AJ15" s="10">
        <f>IF(OR($C15="",$D15=""),"",IF(AND(DATE($B$1,1,1)+(32-1)*7&lt;=$D15,DATE($B$1,1,1)+32*7-1&gt;=$C15),1,""))</f>
        <v/>
      </c>
      <c r="AK15" s="10">
        <f>IF(OR($C15="",$D15=""),"",IF(AND(DATE($B$1,1,1)+(33-1)*7&lt;=$D15,DATE($B$1,1,1)+33*7-1&gt;=$C15),1,""))</f>
        <v/>
      </c>
      <c r="AL15" s="10">
        <f>IF(OR($C15="",$D15=""),"",IF(AND(DATE($B$1,1,1)+(34-1)*7&lt;=$D15,DATE($B$1,1,1)+34*7-1&gt;=$C15),1,""))</f>
        <v/>
      </c>
      <c r="AM15" s="10">
        <f>IF(OR($C15="",$D15=""),"",IF(AND(DATE($B$1,1,1)+(35-1)*7&lt;=$D15,DATE($B$1,1,1)+35*7-1&gt;=$C15),1,""))</f>
        <v/>
      </c>
      <c r="AN15" s="10">
        <f>IF(OR($C15="",$D15=""),"",IF(AND(DATE($B$1,1,1)+(36-1)*7&lt;=$D15,DATE($B$1,1,1)+36*7-1&gt;=$C15),1,""))</f>
        <v/>
      </c>
      <c r="AO15" s="10">
        <f>IF(OR($C15="",$D15=""),"",IF(AND(DATE($B$1,1,1)+(37-1)*7&lt;=$D15,DATE($B$1,1,1)+37*7-1&gt;=$C15),1,""))</f>
        <v/>
      </c>
      <c r="AP15" s="10">
        <f>IF(OR($C15="",$D15=""),"",IF(AND(DATE($B$1,1,1)+(38-1)*7&lt;=$D15,DATE($B$1,1,1)+38*7-1&gt;=$C15),1,""))</f>
        <v/>
      </c>
      <c r="AQ15" s="10">
        <f>IF(OR($C15="",$D15=""),"",IF(AND(DATE($B$1,1,1)+(39-1)*7&lt;=$D15,DATE($B$1,1,1)+39*7-1&gt;=$C15),1,""))</f>
        <v/>
      </c>
      <c r="AR15" s="10">
        <f>IF(OR($C15="",$D15=""),"",IF(AND(DATE($B$1,1,1)+(40-1)*7&lt;=$D15,DATE($B$1,1,1)+40*7-1&gt;=$C15),1,""))</f>
        <v/>
      </c>
      <c r="AS15" s="10">
        <f>IF(OR($C15="",$D15=""),"",IF(AND(DATE($B$1,1,1)+(41-1)*7&lt;=$D15,DATE($B$1,1,1)+41*7-1&gt;=$C15),1,""))</f>
        <v/>
      </c>
      <c r="AT15" s="10">
        <f>IF(OR($C15="",$D15=""),"",IF(AND(DATE($B$1,1,1)+(42-1)*7&lt;=$D15,DATE($B$1,1,1)+42*7-1&gt;=$C15),1,""))</f>
        <v/>
      </c>
      <c r="AU15" s="10">
        <f>IF(OR($C15="",$D15=""),"",IF(AND(DATE($B$1,1,1)+(43-1)*7&lt;=$D15,DATE($B$1,1,1)+43*7-1&gt;=$C15),1,""))</f>
        <v/>
      </c>
      <c r="AV15" s="10">
        <f>IF(OR($C15="",$D15=""),"",IF(AND(DATE($B$1,1,1)+(44-1)*7&lt;=$D15,DATE($B$1,1,1)+44*7-1&gt;=$C15),1,""))</f>
        <v/>
      </c>
      <c r="AW15" s="10">
        <f>IF(OR($C15="",$D15=""),"",IF(AND(DATE($B$1,1,1)+(45-1)*7&lt;=$D15,DATE($B$1,1,1)+45*7-1&gt;=$C15),1,""))</f>
        <v/>
      </c>
      <c r="AX15" s="10">
        <f>IF(OR($C15="",$D15=""),"",IF(AND(DATE($B$1,1,1)+(46-1)*7&lt;=$D15,DATE($B$1,1,1)+46*7-1&gt;=$C15),1,""))</f>
        <v/>
      </c>
      <c r="AY15" s="10">
        <f>IF(OR($C15="",$D15=""),"",IF(AND(DATE($B$1,1,1)+(47-1)*7&lt;=$D15,DATE($B$1,1,1)+47*7-1&gt;=$C15),1,""))</f>
        <v/>
      </c>
      <c r="AZ15" s="10">
        <f>IF(OR($C15="",$D15=""),"",IF(AND(DATE($B$1,1,1)+(48-1)*7&lt;=$D15,DATE($B$1,1,1)+48*7-1&gt;=$C15),1,""))</f>
        <v/>
      </c>
      <c r="BA15" s="10">
        <f>IF(OR($C15="",$D15=""),"",IF(AND(DATE($B$1,1,1)+(49-1)*7&lt;=$D15,DATE($B$1,1,1)+49*7-1&gt;=$C15),1,""))</f>
        <v/>
      </c>
      <c r="BB15" s="10">
        <f>IF(OR($C15="",$D15=""),"",IF(AND(DATE($B$1,1,1)+(50-1)*7&lt;=$D15,DATE($B$1,1,1)+50*7-1&gt;=$C15),1,""))</f>
        <v/>
      </c>
      <c r="BC15" s="10">
        <f>IF(OR($C15="",$D15=""),"",IF(AND(DATE($B$1,1,1)+(51-1)*7&lt;=$D15,DATE($B$1,1,1)+51*7-1&gt;=$C15),1,""))</f>
        <v/>
      </c>
      <c r="BD15" s="10">
        <f>IF(OR($C15="",$D15=""),"",IF(AND(DATE($B$1,1,1)+(52-1)*7&lt;=$D15,DATE($B$1,1,1)+52*7-1&gt;=$C15),1,""))</f>
        <v/>
      </c>
      <c r="BE15" s="10">
        <f>IF(OR($C15="",$D15=""),"",IF(AND(DATE($B$1,1,1)+(53-1)*7&lt;=$D15,DATE($B$1,1,1)+53*7-1&gt;=$C15),1,""))</f>
        <v/>
      </c>
      <c r="BF15" s="10">
        <f>IF(OR($C15="",$D15=""),"",IF(AND(DATE($B$1,1,1)+(54-1)*7&lt;=$D15,DATE($B$1,1,1)+54*7-1&gt;=$C15),1,""))</f>
        <v/>
      </c>
    </row>
    <row r="16">
      <c r="A16" s="6" t="n"/>
      <c r="B16" s="6" t="n"/>
      <c r="C16" s="11" t="n"/>
      <c r="D16" s="11" t="n"/>
      <c r="E16" s="10">
        <f>IF(OR($C16="",$D16=""),"",IF(AND(DATE($B$1,1,1)+(1-1)*7&lt;=$D16,DATE($B$1,1,1)+1*7-1&gt;=$C16),1,""))</f>
        <v/>
      </c>
      <c r="F16" s="10">
        <f>IF(OR($C16="",$D16=""),"",IF(AND(DATE($B$1,1,1)+(2-1)*7&lt;=$D16,DATE($B$1,1,1)+2*7-1&gt;=$C16),1,""))</f>
        <v/>
      </c>
      <c r="G16" s="10">
        <f>IF(OR($C16="",$D16=""),"",IF(AND(DATE($B$1,1,1)+(3-1)*7&lt;=$D16,DATE($B$1,1,1)+3*7-1&gt;=$C16),1,""))</f>
        <v/>
      </c>
      <c r="H16" s="10">
        <f>IF(OR($C16="",$D16=""),"",IF(AND(DATE($B$1,1,1)+(4-1)*7&lt;=$D16,DATE($B$1,1,1)+4*7-1&gt;=$C16),1,""))</f>
        <v/>
      </c>
      <c r="I16" s="10">
        <f>IF(OR($C16="",$D16=""),"",IF(AND(DATE($B$1,1,1)+(5-1)*7&lt;=$D16,DATE($B$1,1,1)+5*7-1&gt;=$C16),1,""))</f>
        <v/>
      </c>
      <c r="J16" s="10">
        <f>IF(OR($C16="",$D16=""),"",IF(AND(DATE($B$1,1,1)+(6-1)*7&lt;=$D16,DATE($B$1,1,1)+6*7-1&gt;=$C16),1,""))</f>
        <v/>
      </c>
      <c r="K16" s="10">
        <f>IF(OR($C16="",$D16=""),"",IF(AND(DATE($B$1,1,1)+(7-1)*7&lt;=$D16,DATE($B$1,1,1)+7*7-1&gt;=$C16),1,""))</f>
        <v/>
      </c>
      <c r="L16" s="10">
        <f>IF(OR($C16="",$D16=""),"",IF(AND(DATE($B$1,1,1)+(8-1)*7&lt;=$D16,DATE($B$1,1,1)+8*7-1&gt;=$C16),1,""))</f>
        <v/>
      </c>
      <c r="M16" s="10">
        <f>IF(OR($C16="",$D16=""),"",IF(AND(DATE($B$1,1,1)+(9-1)*7&lt;=$D16,DATE($B$1,1,1)+9*7-1&gt;=$C16),1,""))</f>
        <v/>
      </c>
      <c r="N16" s="10">
        <f>IF(OR($C16="",$D16=""),"",IF(AND(DATE($B$1,1,1)+(10-1)*7&lt;=$D16,DATE($B$1,1,1)+10*7-1&gt;=$C16),1,""))</f>
        <v/>
      </c>
      <c r="O16" s="10">
        <f>IF(OR($C16="",$D16=""),"",IF(AND(DATE($B$1,1,1)+(11-1)*7&lt;=$D16,DATE($B$1,1,1)+11*7-1&gt;=$C16),1,""))</f>
        <v/>
      </c>
      <c r="P16" s="10">
        <f>IF(OR($C16="",$D16=""),"",IF(AND(DATE($B$1,1,1)+(12-1)*7&lt;=$D16,DATE($B$1,1,1)+12*7-1&gt;=$C16),1,""))</f>
        <v/>
      </c>
      <c r="Q16" s="10">
        <f>IF(OR($C16="",$D16=""),"",IF(AND(DATE($B$1,1,1)+(13-1)*7&lt;=$D16,DATE($B$1,1,1)+13*7-1&gt;=$C16),1,""))</f>
        <v/>
      </c>
      <c r="R16" s="10">
        <f>IF(OR($C16="",$D16=""),"",IF(AND(DATE($B$1,1,1)+(14-1)*7&lt;=$D16,DATE($B$1,1,1)+14*7-1&gt;=$C16),1,""))</f>
        <v/>
      </c>
      <c r="S16" s="10">
        <f>IF(OR($C16="",$D16=""),"",IF(AND(DATE($B$1,1,1)+(15-1)*7&lt;=$D16,DATE($B$1,1,1)+15*7-1&gt;=$C16),1,""))</f>
        <v/>
      </c>
      <c r="T16" s="10">
        <f>IF(OR($C16="",$D16=""),"",IF(AND(DATE($B$1,1,1)+(16-1)*7&lt;=$D16,DATE($B$1,1,1)+16*7-1&gt;=$C16),1,""))</f>
        <v/>
      </c>
      <c r="U16" s="10">
        <f>IF(OR($C16="",$D16=""),"",IF(AND(DATE($B$1,1,1)+(17-1)*7&lt;=$D16,DATE($B$1,1,1)+17*7-1&gt;=$C16),1,""))</f>
        <v/>
      </c>
      <c r="V16" s="10">
        <f>IF(OR($C16="",$D16=""),"",IF(AND(DATE($B$1,1,1)+(18-1)*7&lt;=$D16,DATE($B$1,1,1)+18*7-1&gt;=$C16),1,""))</f>
        <v/>
      </c>
      <c r="W16" s="10">
        <f>IF(OR($C16="",$D16=""),"",IF(AND(DATE($B$1,1,1)+(19-1)*7&lt;=$D16,DATE($B$1,1,1)+19*7-1&gt;=$C16),1,""))</f>
        <v/>
      </c>
      <c r="X16" s="10">
        <f>IF(OR($C16="",$D16=""),"",IF(AND(DATE($B$1,1,1)+(20-1)*7&lt;=$D16,DATE($B$1,1,1)+20*7-1&gt;=$C16),1,""))</f>
        <v/>
      </c>
      <c r="Y16" s="10">
        <f>IF(OR($C16="",$D16=""),"",IF(AND(DATE($B$1,1,1)+(21-1)*7&lt;=$D16,DATE($B$1,1,1)+21*7-1&gt;=$C16),1,""))</f>
        <v/>
      </c>
      <c r="Z16" s="10">
        <f>IF(OR($C16="",$D16=""),"",IF(AND(DATE($B$1,1,1)+(22-1)*7&lt;=$D16,DATE($B$1,1,1)+22*7-1&gt;=$C16),1,""))</f>
        <v/>
      </c>
      <c r="AA16" s="10">
        <f>IF(OR($C16="",$D16=""),"",IF(AND(DATE($B$1,1,1)+(23-1)*7&lt;=$D16,DATE($B$1,1,1)+23*7-1&gt;=$C16),1,""))</f>
        <v/>
      </c>
      <c r="AB16" s="10">
        <f>IF(OR($C16="",$D16=""),"",IF(AND(DATE($B$1,1,1)+(24-1)*7&lt;=$D16,DATE($B$1,1,1)+24*7-1&gt;=$C16),1,""))</f>
        <v/>
      </c>
      <c r="AC16" s="10">
        <f>IF(OR($C16="",$D16=""),"",IF(AND(DATE($B$1,1,1)+(25-1)*7&lt;=$D16,DATE($B$1,1,1)+25*7-1&gt;=$C16),1,""))</f>
        <v/>
      </c>
      <c r="AD16" s="10">
        <f>IF(OR($C16="",$D16=""),"",IF(AND(DATE($B$1,1,1)+(26-1)*7&lt;=$D16,DATE($B$1,1,1)+26*7-1&gt;=$C16),1,""))</f>
        <v/>
      </c>
      <c r="AE16" s="10">
        <f>IF(OR($C16="",$D16=""),"",IF(AND(DATE($B$1,1,1)+(27-1)*7&lt;=$D16,DATE($B$1,1,1)+27*7-1&gt;=$C16),1,""))</f>
        <v/>
      </c>
      <c r="AF16" s="10">
        <f>IF(OR($C16="",$D16=""),"",IF(AND(DATE($B$1,1,1)+(28-1)*7&lt;=$D16,DATE($B$1,1,1)+28*7-1&gt;=$C16),1,""))</f>
        <v/>
      </c>
      <c r="AG16" s="10">
        <f>IF(OR($C16="",$D16=""),"",IF(AND(DATE($B$1,1,1)+(29-1)*7&lt;=$D16,DATE($B$1,1,1)+29*7-1&gt;=$C16),1,""))</f>
        <v/>
      </c>
      <c r="AH16" s="10">
        <f>IF(OR($C16="",$D16=""),"",IF(AND(DATE($B$1,1,1)+(30-1)*7&lt;=$D16,DATE($B$1,1,1)+30*7-1&gt;=$C16),1,""))</f>
        <v/>
      </c>
      <c r="AI16" s="10">
        <f>IF(OR($C16="",$D16=""),"",IF(AND(DATE($B$1,1,1)+(31-1)*7&lt;=$D16,DATE($B$1,1,1)+31*7-1&gt;=$C16),1,""))</f>
        <v/>
      </c>
      <c r="AJ16" s="10">
        <f>IF(OR($C16="",$D16=""),"",IF(AND(DATE($B$1,1,1)+(32-1)*7&lt;=$D16,DATE($B$1,1,1)+32*7-1&gt;=$C16),1,""))</f>
        <v/>
      </c>
      <c r="AK16" s="10">
        <f>IF(OR($C16="",$D16=""),"",IF(AND(DATE($B$1,1,1)+(33-1)*7&lt;=$D16,DATE($B$1,1,1)+33*7-1&gt;=$C16),1,""))</f>
        <v/>
      </c>
      <c r="AL16" s="10">
        <f>IF(OR($C16="",$D16=""),"",IF(AND(DATE($B$1,1,1)+(34-1)*7&lt;=$D16,DATE($B$1,1,1)+34*7-1&gt;=$C16),1,""))</f>
        <v/>
      </c>
      <c r="AM16" s="10">
        <f>IF(OR($C16="",$D16=""),"",IF(AND(DATE($B$1,1,1)+(35-1)*7&lt;=$D16,DATE($B$1,1,1)+35*7-1&gt;=$C16),1,""))</f>
        <v/>
      </c>
      <c r="AN16" s="10">
        <f>IF(OR($C16="",$D16=""),"",IF(AND(DATE($B$1,1,1)+(36-1)*7&lt;=$D16,DATE($B$1,1,1)+36*7-1&gt;=$C16),1,""))</f>
        <v/>
      </c>
      <c r="AO16" s="10">
        <f>IF(OR($C16="",$D16=""),"",IF(AND(DATE($B$1,1,1)+(37-1)*7&lt;=$D16,DATE($B$1,1,1)+37*7-1&gt;=$C16),1,""))</f>
        <v/>
      </c>
      <c r="AP16" s="10">
        <f>IF(OR($C16="",$D16=""),"",IF(AND(DATE($B$1,1,1)+(38-1)*7&lt;=$D16,DATE($B$1,1,1)+38*7-1&gt;=$C16),1,""))</f>
        <v/>
      </c>
      <c r="AQ16" s="10">
        <f>IF(OR($C16="",$D16=""),"",IF(AND(DATE($B$1,1,1)+(39-1)*7&lt;=$D16,DATE($B$1,1,1)+39*7-1&gt;=$C16),1,""))</f>
        <v/>
      </c>
      <c r="AR16" s="10">
        <f>IF(OR($C16="",$D16=""),"",IF(AND(DATE($B$1,1,1)+(40-1)*7&lt;=$D16,DATE($B$1,1,1)+40*7-1&gt;=$C16),1,""))</f>
        <v/>
      </c>
      <c r="AS16" s="10">
        <f>IF(OR($C16="",$D16=""),"",IF(AND(DATE($B$1,1,1)+(41-1)*7&lt;=$D16,DATE($B$1,1,1)+41*7-1&gt;=$C16),1,""))</f>
        <v/>
      </c>
      <c r="AT16" s="10">
        <f>IF(OR($C16="",$D16=""),"",IF(AND(DATE($B$1,1,1)+(42-1)*7&lt;=$D16,DATE($B$1,1,1)+42*7-1&gt;=$C16),1,""))</f>
        <v/>
      </c>
      <c r="AU16" s="10">
        <f>IF(OR($C16="",$D16=""),"",IF(AND(DATE($B$1,1,1)+(43-1)*7&lt;=$D16,DATE($B$1,1,1)+43*7-1&gt;=$C16),1,""))</f>
        <v/>
      </c>
      <c r="AV16" s="10">
        <f>IF(OR($C16="",$D16=""),"",IF(AND(DATE($B$1,1,1)+(44-1)*7&lt;=$D16,DATE($B$1,1,1)+44*7-1&gt;=$C16),1,""))</f>
        <v/>
      </c>
      <c r="AW16" s="10">
        <f>IF(OR($C16="",$D16=""),"",IF(AND(DATE($B$1,1,1)+(45-1)*7&lt;=$D16,DATE($B$1,1,1)+45*7-1&gt;=$C16),1,""))</f>
        <v/>
      </c>
      <c r="AX16" s="10">
        <f>IF(OR($C16="",$D16=""),"",IF(AND(DATE($B$1,1,1)+(46-1)*7&lt;=$D16,DATE($B$1,1,1)+46*7-1&gt;=$C16),1,""))</f>
        <v/>
      </c>
      <c r="AY16" s="10">
        <f>IF(OR($C16="",$D16=""),"",IF(AND(DATE($B$1,1,1)+(47-1)*7&lt;=$D16,DATE($B$1,1,1)+47*7-1&gt;=$C16),1,""))</f>
        <v/>
      </c>
      <c r="AZ16" s="10">
        <f>IF(OR($C16="",$D16=""),"",IF(AND(DATE($B$1,1,1)+(48-1)*7&lt;=$D16,DATE($B$1,1,1)+48*7-1&gt;=$C16),1,""))</f>
        <v/>
      </c>
      <c r="BA16" s="10">
        <f>IF(OR($C16="",$D16=""),"",IF(AND(DATE($B$1,1,1)+(49-1)*7&lt;=$D16,DATE($B$1,1,1)+49*7-1&gt;=$C16),1,""))</f>
        <v/>
      </c>
      <c r="BB16" s="10">
        <f>IF(OR($C16="",$D16=""),"",IF(AND(DATE($B$1,1,1)+(50-1)*7&lt;=$D16,DATE($B$1,1,1)+50*7-1&gt;=$C16),1,""))</f>
        <v/>
      </c>
      <c r="BC16" s="10">
        <f>IF(OR($C16="",$D16=""),"",IF(AND(DATE($B$1,1,1)+(51-1)*7&lt;=$D16,DATE($B$1,1,1)+51*7-1&gt;=$C16),1,""))</f>
        <v/>
      </c>
      <c r="BD16" s="10">
        <f>IF(OR($C16="",$D16=""),"",IF(AND(DATE($B$1,1,1)+(52-1)*7&lt;=$D16,DATE($B$1,1,1)+52*7-1&gt;=$C16),1,""))</f>
        <v/>
      </c>
      <c r="BE16" s="10">
        <f>IF(OR($C16="",$D16=""),"",IF(AND(DATE($B$1,1,1)+(53-1)*7&lt;=$D16,DATE($B$1,1,1)+53*7-1&gt;=$C16),1,""))</f>
        <v/>
      </c>
      <c r="BF16" s="10">
        <f>IF(OR($C16="",$D16=""),"",IF(AND(DATE($B$1,1,1)+(54-1)*7&lt;=$D16,DATE($B$1,1,1)+54*7-1&gt;=$C16),1,""))</f>
        <v/>
      </c>
    </row>
    <row r="17">
      <c r="A17" s="6" t="n"/>
      <c r="B17" s="6" t="n"/>
      <c r="C17" s="11" t="n"/>
      <c r="D17" s="11" t="n"/>
      <c r="E17" s="10">
        <f>IF(OR($C17="",$D17=""),"",IF(AND(DATE($B$1,1,1)+(1-1)*7&lt;=$D17,DATE($B$1,1,1)+1*7-1&gt;=$C17),1,""))</f>
        <v/>
      </c>
      <c r="F17" s="10">
        <f>IF(OR($C17="",$D17=""),"",IF(AND(DATE($B$1,1,1)+(2-1)*7&lt;=$D17,DATE($B$1,1,1)+2*7-1&gt;=$C17),1,""))</f>
        <v/>
      </c>
      <c r="G17" s="10">
        <f>IF(OR($C17="",$D17=""),"",IF(AND(DATE($B$1,1,1)+(3-1)*7&lt;=$D17,DATE($B$1,1,1)+3*7-1&gt;=$C17),1,""))</f>
        <v/>
      </c>
      <c r="H17" s="10">
        <f>IF(OR($C17="",$D17=""),"",IF(AND(DATE($B$1,1,1)+(4-1)*7&lt;=$D17,DATE($B$1,1,1)+4*7-1&gt;=$C17),1,""))</f>
        <v/>
      </c>
      <c r="I17" s="10">
        <f>IF(OR($C17="",$D17=""),"",IF(AND(DATE($B$1,1,1)+(5-1)*7&lt;=$D17,DATE($B$1,1,1)+5*7-1&gt;=$C17),1,""))</f>
        <v/>
      </c>
      <c r="J17" s="10">
        <f>IF(OR($C17="",$D17=""),"",IF(AND(DATE($B$1,1,1)+(6-1)*7&lt;=$D17,DATE($B$1,1,1)+6*7-1&gt;=$C17),1,""))</f>
        <v/>
      </c>
      <c r="K17" s="10">
        <f>IF(OR($C17="",$D17=""),"",IF(AND(DATE($B$1,1,1)+(7-1)*7&lt;=$D17,DATE($B$1,1,1)+7*7-1&gt;=$C17),1,""))</f>
        <v/>
      </c>
      <c r="L17" s="10">
        <f>IF(OR($C17="",$D17=""),"",IF(AND(DATE($B$1,1,1)+(8-1)*7&lt;=$D17,DATE($B$1,1,1)+8*7-1&gt;=$C17),1,""))</f>
        <v/>
      </c>
      <c r="M17" s="10">
        <f>IF(OR($C17="",$D17=""),"",IF(AND(DATE($B$1,1,1)+(9-1)*7&lt;=$D17,DATE($B$1,1,1)+9*7-1&gt;=$C17),1,""))</f>
        <v/>
      </c>
      <c r="N17" s="10">
        <f>IF(OR($C17="",$D17=""),"",IF(AND(DATE($B$1,1,1)+(10-1)*7&lt;=$D17,DATE($B$1,1,1)+10*7-1&gt;=$C17),1,""))</f>
        <v/>
      </c>
      <c r="O17" s="10">
        <f>IF(OR($C17="",$D17=""),"",IF(AND(DATE($B$1,1,1)+(11-1)*7&lt;=$D17,DATE($B$1,1,1)+11*7-1&gt;=$C17),1,""))</f>
        <v/>
      </c>
      <c r="P17" s="10">
        <f>IF(OR($C17="",$D17=""),"",IF(AND(DATE($B$1,1,1)+(12-1)*7&lt;=$D17,DATE($B$1,1,1)+12*7-1&gt;=$C17),1,""))</f>
        <v/>
      </c>
      <c r="Q17" s="10">
        <f>IF(OR($C17="",$D17=""),"",IF(AND(DATE($B$1,1,1)+(13-1)*7&lt;=$D17,DATE($B$1,1,1)+13*7-1&gt;=$C17),1,""))</f>
        <v/>
      </c>
      <c r="R17" s="10">
        <f>IF(OR($C17="",$D17=""),"",IF(AND(DATE($B$1,1,1)+(14-1)*7&lt;=$D17,DATE($B$1,1,1)+14*7-1&gt;=$C17),1,""))</f>
        <v/>
      </c>
      <c r="S17" s="10">
        <f>IF(OR($C17="",$D17=""),"",IF(AND(DATE($B$1,1,1)+(15-1)*7&lt;=$D17,DATE($B$1,1,1)+15*7-1&gt;=$C17),1,""))</f>
        <v/>
      </c>
      <c r="T17" s="10">
        <f>IF(OR($C17="",$D17=""),"",IF(AND(DATE($B$1,1,1)+(16-1)*7&lt;=$D17,DATE($B$1,1,1)+16*7-1&gt;=$C17),1,""))</f>
        <v/>
      </c>
      <c r="U17" s="10">
        <f>IF(OR($C17="",$D17=""),"",IF(AND(DATE($B$1,1,1)+(17-1)*7&lt;=$D17,DATE($B$1,1,1)+17*7-1&gt;=$C17),1,""))</f>
        <v/>
      </c>
      <c r="V17" s="10">
        <f>IF(OR($C17="",$D17=""),"",IF(AND(DATE($B$1,1,1)+(18-1)*7&lt;=$D17,DATE($B$1,1,1)+18*7-1&gt;=$C17),1,""))</f>
        <v/>
      </c>
      <c r="W17" s="10">
        <f>IF(OR($C17="",$D17=""),"",IF(AND(DATE($B$1,1,1)+(19-1)*7&lt;=$D17,DATE($B$1,1,1)+19*7-1&gt;=$C17),1,""))</f>
        <v/>
      </c>
      <c r="X17" s="10">
        <f>IF(OR($C17="",$D17=""),"",IF(AND(DATE($B$1,1,1)+(20-1)*7&lt;=$D17,DATE($B$1,1,1)+20*7-1&gt;=$C17),1,""))</f>
        <v/>
      </c>
      <c r="Y17" s="10">
        <f>IF(OR($C17="",$D17=""),"",IF(AND(DATE($B$1,1,1)+(21-1)*7&lt;=$D17,DATE($B$1,1,1)+21*7-1&gt;=$C17),1,""))</f>
        <v/>
      </c>
      <c r="Z17" s="10">
        <f>IF(OR($C17="",$D17=""),"",IF(AND(DATE($B$1,1,1)+(22-1)*7&lt;=$D17,DATE($B$1,1,1)+22*7-1&gt;=$C17),1,""))</f>
        <v/>
      </c>
      <c r="AA17" s="10">
        <f>IF(OR($C17="",$D17=""),"",IF(AND(DATE($B$1,1,1)+(23-1)*7&lt;=$D17,DATE($B$1,1,1)+23*7-1&gt;=$C17),1,""))</f>
        <v/>
      </c>
      <c r="AB17" s="10">
        <f>IF(OR($C17="",$D17=""),"",IF(AND(DATE($B$1,1,1)+(24-1)*7&lt;=$D17,DATE($B$1,1,1)+24*7-1&gt;=$C17),1,""))</f>
        <v/>
      </c>
      <c r="AC17" s="10">
        <f>IF(OR($C17="",$D17=""),"",IF(AND(DATE($B$1,1,1)+(25-1)*7&lt;=$D17,DATE($B$1,1,1)+25*7-1&gt;=$C17),1,""))</f>
        <v/>
      </c>
      <c r="AD17" s="10">
        <f>IF(OR($C17="",$D17=""),"",IF(AND(DATE($B$1,1,1)+(26-1)*7&lt;=$D17,DATE($B$1,1,1)+26*7-1&gt;=$C17),1,""))</f>
        <v/>
      </c>
      <c r="AE17" s="10">
        <f>IF(OR($C17="",$D17=""),"",IF(AND(DATE($B$1,1,1)+(27-1)*7&lt;=$D17,DATE($B$1,1,1)+27*7-1&gt;=$C17),1,""))</f>
        <v/>
      </c>
      <c r="AF17" s="10">
        <f>IF(OR($C17="",$D17=""),"",IF(AND(DATE($B$1,1,1)+(28-1)*7&lt;=$D17,DATE($B$1,1,1)+28*7-1&gt;=$C17),1,""))</f>
        <v/>
      </c>
      <c r="AG17" s="10">
        <f>IF(OR($C17="",$D17=""),"",IF(AND(DATE($B$1,1,1)+(29-1)*7&lt;=$D17,DATE($B$1,1,1)+29*7-1&gt;=$C17),1,""))</f>
        <v/>
      </c>
      <c r="AH17" s="10">
        <f>IF(OR($C17="",$D17=""),"",IF(AND(DATE($B$1,1,1)+(30-1)*7&lt;=$D17,DATE($B$1,1,1)+30*7-1&gt;=$C17),1,""))</f>
        <v/>
      </c>
      <c r="AI17" s="10">
        <f>IF(OR($C17="",$D17=""),"",IF(AND(DATE($B$1,1,1)+(31-1)*7&lt;=$D17,DATE($B$1,1,1)+31*7-1&gt;=$C17),1,""))</f>
        <v/>
      </c>
      <c r="AJ17" s="10">
        <f>IF(OR($C17="",$D17=""),"",IF(AND(DATE($B$1,1,1)+(32-1)*7&lt;=$D17,DATE($B$1,1,1)+32*7-1&gt;=$C17),1,""))</f>
        <v/>
      </c>
      <c r="AK17" s="10">
        <f>IF(OR($C17="",$D17=""),"",IF(AND(DATE($B$1,1,1)+(33-1)*7&lt;=$D17,DATE($B$1,1,1)+33*7-1&gt;=$C17),1,""))</f>
        <v/>
      </c>
      <c r="AL17" s="10">
        <f>IF(OR($C17="",$D17=""),"",IF(AND(DATE($B$1,1,1)+(34-1)*7&lt;=$D17,DATE($B$1,1,1)+34*7-1&gt;=$C17),1,""))</f>
        <v/>
      </c>
      <c r="AM17" s="10">
        <f>IF(OR($C17="",$D17=""),"",IF(AND(DATE($B$1,1,1)+(35-1)*7&lt;=$D17,DATE($B$1,1,1)+35*7-1&gt;=$C17),1,""))</f>
        <v/>
      </c>
      <c r="AN17" s="10">
        <f>IF(OR($C17="",$D17=""),"",IF(AND(DATE($B$1,1,1)+(36-1)*7&lt;=$D17,DATE($B$1,1,1)+36*7-1&gt;=$C17),1,""))</f>
        <v/>
      </c>
      <c r="AO17" s="10">
        <f>IF(OR($C17="",$D17=""),"",IF(AND(DATE($B$1,1,1)+(37-1)*7&lt;=$D17,DATE($B$1,1,1)+37*7-1&gt;=$C17),1,""))</f>
        <v/>
      </c>
      <c r="AP17" s="10">
        <f>IF(OR($C17="",$D17=""),"",IF(AND(DATE($B$1,1,1)+(38-1)*7&lt;=$D17,DATE($B$1,1,1)+38*7-1&gt;=$C17),1,""))</f>
        <v/>
      </c>
      <c r="AQ17" s="10">
        <f>IF(OR($C17="",$D17=""),"",IF(AND(DATE($B$1,1,1)+(39-1)*7&lt;=$D17,DATE($B$1,1,1)+39*7-1&gt;=$C17),1,""))</f>
        <v/>
      </c>
      <c r="AR17" s="10">
        <f>IF(OR($C17="",$D17=""),"",IF(AND(DATE($B$1,1,1)+(40-1)*7&lt;=$D17,DATE($B$1,1,1)+40*7-1&gt;=$C17),1,""))</f>
        <v/>
      </c>
      <c r="AS17" s="10">
        <f>IF(OR($C17="",$D17=""),"",IF(AND(DATE($B$1,1,1)+(41-1)*7&lt;=$D17,DATE($B$1,1,1)+41*7-1&gt;=$C17),1,""))</f>
        <v/>
      </c>
      <c r="AT17" s="10">
        <f>IF(OR($C17="",$D17=""),"",IF(AND(DATE($B$1,1,1)+(42-1)*7&lt;=$D17,DATE($B$1,1,1)+42*7-1&gt;=$C17),1,""))</f>
        <v/>
      </c>
      <c r="AU17" s="10">
        <f>IF(OR($C17="",$D17=""),"",IF(AND(DATE($B$1,1,1)+(43-1)*7&lt;=$D17,DATE($B$1,1,1)+43*7-1&gt;=$C17),1,""))</f>
        <v/>
      </c>
      <c r="AV17" s="10">
        <f>IF(OR($C17="",$D17=""),"",IF(AND(DATE($B$1,1,1)+(44-1)*7&lt;=$D17,DATE($B$1,1,1)+44*7-1&gt;=$C17),1,""))</f>
        <v/>
      </c>
      <c r="AW17" s="10">
        <f>IF(OR($C17="",$D17=""),"",IF(AND(DATE($B$1,1,1)+(45-1)*7&lt;=$D17,DATE($B$1,1,1)+45*7-1&gt;=$C17),1,""))</f>
        <v/>
      </c>
      <c r="AX17" s="10">
        <f>IF(OR($C17="",$D17=""),"",IF(AND(DATE($B$1,1,1)+(46-1)*7&lt;=$D17,DATE($B$1,1,1)+46*7-1&gt;=$C17),1,""))</f>
        <v/>
      </c>
      <c r="AY17" s="10">
        <f>IF(OR($C17="",$D17=""),"",IF(AND(DATE($B$1,1,1)+(47-1)*7&lt;=$D17,DATE($B$1,1,1)+47*7-1&gt;=$C17),1,""))</f>
        <v/>
      </c>
      <c r="AZ17" s="10">
        <f>IF(OR($C17="",$D17=""),"",IF(AND(DATE($B$1,1,1)+(48-1)*7&lt;=$D17,DATE($B$1,1,1)+48*7-1&gt;=$C17),1,""))</f>
        <v/>
      </c>
      <c r="BA17" s="10">
        <f>IF(OR($C17="",$D17=""),"",IF(AND(DATE($B$1,1,1)+(49-1)*7&lt;=$D17,DATE($B$1,1,1)+49*7-1&gt;=$C17),1,""))</f>
        <v/>
      </c>
      <c r="BB17" s="10">
        <f>IF(OR($C17="",$D17=""),"",IF(AND(DATE($B$1,1,1)+(50-1)*7&lt;=$D17,DATE($B$1,1,1)+50*7-1&gt;=$C17),1,""))</f>
        <v/>
      </c>
      <c r="BC17" s="10">
        <f>IF(OR($C17="",$D17=""),"",IF(AND(DATE($B$1,1,1)+(51-1)*7&lt;=$D17,DATE($B$1,1,1)+51*7-1&gt;=$C17),1,""))</f>
        <v/>
      </c>
      <c r="BD17" s="10">
        <f>IF(OR($C17="",$D17=""),"",IF(AND(DATE($B$1,1,1)+(52-1)*7&lt;=$D17,DATE($B$1,1,1)+52*7-1&gt;=$C17),1,""))</f>
        <v/>
      </c>
      <c r="BE17" s="10">
        <f>IF(OR($C17="",$D17=""),"",IF(AND(DATE($B$1,1,1)+(53-1)*7&lt;=$D17,DATE($B$1,1,1)+53*7-1&gt;=$C17),1,""))</f>
        <v/>
      </c>
      <c r="BF17" s="10">
        <f>IF(OR($C17="",$D17=""),"",IF(AND(DATE($B$1,1,1)+(54-1)*7&lt;=$D17,DATE($B$1,1,1)+54*7-1&gt;=$C17),1,""))</f>
        <v/>
      </c>
    </row>
    <row r="18">
      <c r="A18" s="6" t="n"/>
      <c r="B18" s="6" t="n"/>
      <c r="C18" s="11" t="n"/>
      <c r="D18" s="11" t="n"/>
      <c r="E18" s="10">
        <f>IF(OR($C18="",$D18=""),"",IF(AND(DATE($B$1,1,1)+(1-1)*7&lt;=$D18,DATE($B$1,1,1)+1*7-1&gt;=$C18),1,""))</f>
        <v/>
      </c>
      <c r="F18" s="10">
        <f>IF(OR($C18="",$D18=""),"",IF(AND(DATE($B$1,1,1)+(2-1)*7&lt;=$D18,DATE($B$1,1,1)+2*7-1&gt;=$C18),1,""))</f>
        <v/>
      </c>
      <c r="G18" s="10">
        <f>IF(OR($C18="",$D18=""),"",IF(AND(DATE($B$1,1,1)+(3-1)*7&lt;=$D18,DATE($B$1,1,1)+3*7-1&gt;=$C18),1,""))</f>
        <v/>
      </c>
      <c r="H18" s="10">
        <f>IF(OR($C18="",$D18=""),"",IF(AND(DATE($B$1,1,1)+(4-1)*7&lt;=$D18,DATE($B$1,1,1)+4*7-1&gt;=$C18),1,""))</f>
        <v/>
      </c>
      <c r="I18" s="10">
        <f>IF(OR($C18="",$D18=""),"",IF(AND(DATE($B$1,1,1)+(5-1)*7&lt;=$D18,DATE($B$1,1,1)+5*7-1&gt;=$C18),1,""))</f>
        <v/>
      </c>
      <c r="J18" s="10">
        <f>IF(OR($C18="",$D18=""),"",IF(AND(DATE($B$1,1,1)+(6-1)*7&lt;=$D18,DATE($B$1,1,1)+6*7-1&gt;=$C18),1,""))</f>
        <v/>
      </c>
      <c r="K18" s="10">
        <f>IF(OR($C18="",$D18=""),"",IF(AND(DATE($B$1,1,1)+(7-1)*7&lt;=$D18,DATE($B$1,1,1)+7*7-1&gt;=$C18),1,""))</f>
        <v/>
      </c>
      <c r="L18" s="10">
        <f>IF(OR($C18="",$D18=""),"",IF(AND(DATE($B$1,1,1)+(8-1)*7&lt;=$D18,DATE($B$1,1,1)+8*7-1&gt;=$C18),1,""))</f>
        <v/>
      </c>
      <c r="M18" s="10">
        <f>IF(OR($C18="",$D18=""),"",IF(AND(DATE($B$1,1,1)+(9-1)*7&lt;=$D18,DATE($B$1,1,1)+9*7-1&gt;=$C18),1,""))</f>
        <v/>
      </c>
      <c r="N18" s="10">
        <f>IF(OR($C18="",$D18=""),"",IF(AND(DATE($B$1,1,1)+(10-1)*7&lt;=$D18,DATE($B$1,1,1)+10*7-1&gt;=$C18),1,""))</f>
        <v/>
      </c>
      <c r="O18" s="10">
        <f>IF(OR($C18="",$D18=""),"",IF(AND(DATE($B$1,1,1)+(11-1)*7&lt;=$D18,DATE($B$1,1,1)+11*7-1&gt;=$C18),1,""))</f>
        <v/>
      </c>
      <c r="P18" s="10">
        <f>IF(OR($C18="",$D18=""),"",IF(AND(DATE($B$1,1,1)+(12-1)*7&lt;=$D18,DATE($B$1,1,1)+12*7-1&gt;=$C18),1,""))</f>
        <v/>
      </c>
      <c r="Q18" s="10">
        <f>IF(OR($C18="",$D18=""),"",IF(AND(DATE($B$1,1,1)+(13-1)*7&lt;=$D18,DATE($B$1,1,1)+13*7-1&gt;=$C18),1,""))</f>
        <v/>
      </c>
      <c r="R18" s="10">
        <f>IF(OR($C18="",$D18=""),"",IF(AND(DATE($B$1,1,1)+(14-1)*7&lt;=$D18,DATE($B$1,1,1)+14*7-1&gt;=$C18),1,""))</f>
        <v/>
      </c>
      <c r="S18" s="10">
        <f>IF(OR($C18="",$D18=""),"",IF(AND(DATE($B$1,1,1)+(15-1)*7&lt;=$D18,DATE($B$1,1,1)+15*7-1&gt;=$C18),1,""))</f>
        <v/>
      </c>
      <c r="T18" s="10">
        <f>IF(OR($C18="",$D18=""),"",IF(AND(DATE($B$1,1,1)+(16-1)*7&lt;=$D18,DATE($B$1,1,1)+16*7-1&gt;=$C18),1,""))</f>
        <v/>
      </c>
      <c r="U18" s="10">
        <f>IF(OR($C18="",$D18=""),"",IF(AND(DATE($B$1,1,1)+(17-1)*7&lt;=$D18,DATE($B$1,1,1)+17*7-1&gt;=$C18),1,""))</f>
        <v/>
      </c>
      <c r="V18" s="10">
        <f>IF(OR($C18="",$D18=""),"",IF(AND(DATE($B$1,1,1)+(18-1)*7&lt;=$D18,DATE($B$1,1,1)+18*7-1&gt;=$C18),1,""))</f>
        <v/>
      </c>
      <c r="W18" s="10">
        <f>IF(OR($C18="",$D18=""),"",IF(AND(DATE($B$1,1,1)+(19-1)*7&lt;=$D18,DATE($B$1,1,1)+19*7-1&gt;=$C18),1,""))</f>
        <v/>
      </c>
      <c r="X18" s="10">
        <f>IF(OR($C18="",$D18=""),"",IF(AND(DATE($B$1,1,1)+(20-1)*7&lt;=$D18,DATE($B$1,1,1)+20*7-1&gt;=$C18),1,""))</f>
        <v/>
      </c>
      <c r="Y18" s="10">
        <f>IF(OR($C18="",$D18=""),"",IF(AND(DATE($B$1,1,1)+(21-1)*7&lt;=$D18,DATE($B$1,1,1)+21*7-1&gt;=$C18),1,""))</f>
        <v/>
      </c>
      <c r="Z18" s="10">
        <f>IF(OR($C18="",$D18=""),"",IF(AND(DATE($B$1,1,1)+(22-1)*7&lt;=$D18,DATE($B$1,1,1)+22*7-1&gt;=$C18),1,""))</f>
        <v/>
      </c>
      <c r="AA18" s="10">
        <f>IF(OR($C18="",$D18=""),"",IF(AND(DATE($B$1,1,1)+(23-1)*7&lt;=$D18,DATE($B$1,1,1)+23*7-1&gt;=$C18),1,""))</f>
        <v/>
      </c>
      <c r="AB18" s="10">
        <f>IF(OR($C18="",$D18=""),"",IF(AND(DATE($B$1,1,1)+(24-1)*7&lt;=$D18,DATE($B$1,1,1)+24*7-1&gt;=$C18),1,""))</f>
        <v/>
      </c>
      <c r="AC18" s="10">
        <f>IF(OR($C18="",$D18=""),"",IF(AND(DATE($B$1,1,1)+(25-1)*7&lt;=$D18,DATE($B$1,1,1)+25*7-1&gt;=$C18),1,""))</f>
        <v/>
      </c>
      <c r="AD18" s="10">
        <f>IF(OR($C18="",$D18=""),"",IF(AND(DATE($B$1,1,1)+(26-1)*7&lt;=$D18,DATE($B$1,1,1)+26*7-1&gt;=$C18),1,""))</f>
        <v/>
      </c>
      <c r="AE18" s="10">
        <f>IF(OR($C18="",$D18=""),"",IF(AND(DATE($B$1,1,1)+(27-1)*7&lt;=$D18,DATE($B$1,1,1)+27*7-1&gt;=$C18),1,""))</f>
        <v/>
      </c>
      <c r="AF18" s="10">
        <f>IF(OR($C18="",$D18=""),"",IF(AND(DATE($B$1,1,1)+(28-1)*7&lt;=$D18,DATE($B$1,1,1)+28*7-1&gt;=$C18),1,""))</f>
        <v/>
      </c>
      <c r="AG18" s="10">
        <f>IF(OR($C18="",$D18=""),"",IF(AND(DATE($B$1,1,1)+(29-1)*7&lt;=$D18,DATE($B$1,1,1)+29*7-1&gt;=$C18),1,""))</f>
        <v/>
      </c>
      <c r="AH18" s="10">
        <f>IF(OR($C18="",$D18=""),"",IF(AND(DATE($B$1,1,1)+(30-1)*7&lt;=$D18,DATE($B$1,1,1)+30*7-1&gt;=$C18),1,""))</f>
        <v/>
      </c>
      <c r="AI18" s="10">
        <f>IF(OR($C18="",$D18=""),"",IF(AND(DATE($B$1,1,1)+(31-1)*7&lt;=$D18,DATE($B$1,1,1)+31*7-1&gt;=$C18),1,""))</f>
        <v/>
      </c>
      <c r="AJ18" s="10">
        <f>IF(OR($C18="",$D18=""),"",IF(AND(DATE($B$1,1,1)+(32-1)*7&lt;=$D18,DATE($B$1,1,1)+32*7-1&gt;=$C18),1,""))</f>
        <v/>
      </c>
      <c r="AK18" s="10">
        <f>IF(OR($C18="",$D18=""),"",IF(AND(DATE($B$1,1,1)+(33-1)*7&lt;=$D18,DATE($B$1,1,1)+33*7-1&gt;=$C18),1,""))</f>
        <v/>
      </c>
      <c r="AL18" s="10">
        <f>IF(OR($C18="",$D18=""),"",IF(AND(DATE($B$1,1,1)+(34-1)*7&lt;=$D18,DATE($B$1,1,1)+34*7-1&gt;=$C18),1,""))</f>
        <v/>
      </c>
      <c r="AM18" s="10">
        <f>IF(OR($C18="",$D18=""),"",IF(AND(DATE($B$1,1,1)+(35-1)*7&lt;=$D18,DATE($B$1,1,1)+35*7-1&gt;=$C18),1,""))</f>
        <v/>
      </c>
      <c r="AN18" s="10">
        <f>IF(OR($C18="",$D18=""),"",IF(AND(DATE($B$1,1,1)+(36-1)*7&lt;=$D18,DATE($B$1,1,1)+36*7-1&gt;=$C18),1,""))</f>
        <v/>
      </c>
      <c r="AO18" s="10">
        <f>IF(OR($C18="",$D18=""),"",IF(AND(DATE($B$1,1,1)+(37-1)*7&lt;=$D18,DATE($B$1,1,1)+37*7-1&gt;=$C18),1,""))</f>
        <v/>
      </c>
      <c r="AP18" s="10">
        <f>IF(OR($C18="",$D18=""),"",IF(AND(DATE($B$1,1,1)+(38-1)*7&lt;=$D18,DATE($B$1,1,1)+38*7-1&gt;=$C18),1,""))</f>
        <v/>
      </c>
      <c r="AQ18" s="10">
        <f>IF(OR($C18="",$D18=""),"",IF(AND(DATE($B$1,1,1)+(39-1)*7&lt;=$D18,DATE($B$1,1,1)+39*7-1&gt;=$C18),1,""))</f>
        <v/>
      </c>
      <c r="AR18" s="10">
        <f>IF(OR($C18="",$D18=""),"",IF(AND(DATE($B$1,1,1)+(40-1)*7&lt;=$D18,DATE($B$1,1,1)+40*7-1&gt;=$C18),1,""))</f>
        <v/>
      </c>
      <c r="AS18" s="10">
        <f>IF(OR($C18="",$D18=""),"",IF(AND(DATE($B$1,1,1)+(41-1)*7&lt;=$D18,DATE($B$1,1,1)+41*7-1&gt;=$C18),1,""))</f>
        <v/>
      </c>
      <c r="AT18" s="10">
        <f>IF(OR($C18="",$D18=""),"",IF(AND(DATE($B$1,1,1)+(42-1)*7&lt;=$D18,DATE($B$1,1,1)+42*7-1&gt;=$C18),1,""))</f>
        <v/>
      </c>
      <c r="AU18" s="10">
        <f>IF(OR($C18="",$D18=""),"",IF(AND(DATE($B$1,1,1)+(43-1)*7&lt;=$D18,DATE($B$1,1,1)+43*7-1&gt;=$C18),1,""))</f>
        <v/>
      </c>
      <c r="AV18" s="10">
        <f>IF(OR($C18="",$D18=""),"",IF(AND(DATE($B$1,1,1)+(44-1)*7&lt;=$D18,DATE($B$1,1,1)+44*7-1&gt;=$C18),1,""))</f>
        <v/>
      </c>
      <c r="AW18" s="10">
        <f>IF(OR($C18="",$D18=""),"",IF(AND(DATE($B$1,1,1)+(45-1)*7&lt;=$D18,DATE($B$1,1,1)+45*7-1&gt;=$C18),1,""))</f>
        <v/>
      </c>
      <c r="AX18" s="10">
        <f>IF(OR($C18="",$D18=""),"",IF(AND(DATE($B$1,1,1)+(46-1)*7&lt;=$D18,DATE($B$1,1,1)+46*7-1&gt;=$C18),1,""))</f>
        <v/>
      </c>
      <c r="AY18" s="10">
        <f>IF(OR($C18="",$D18=""),"",IF(AND(DATE($B$1,1,1)+(47-1)*7&lt;=$D18,DATE($B$1,1,1)+47*7-1&gt;=$C18),1,""))</f>
        <v/>
      </c>
      <c r="AZ18" s="10">
        <f>IF(OR($C18="",$D18=""),"",IF(AND(DATE($B$1,1,1)+(48-1)*7&lt;=$D18,DATE($B$1,1,1)+48*7-1&gt;=$C18),1,""))</f>
        <v/>
      </c>
      <c r="BA18" s="10">
        <f>IF(OR($C18="",$D18=""),"",IF(AND(DATE($B$1,1,1)+(49-1)*7&lt;=$D18,DATE($B$1,1,1)+49*7-1&gt;=$C18),1,""))</f>
        <v/>
      </c>
      <c r="BB18" s="10">
        <f>IF(OR($C18="",$D18=""),"",IF(AND(DATE($B$1,1,1)+(50-1)*7&lt;=$D18,DATE($B$1,1,1)+50*7-1&gt;=$C18),1,""))</f>
        <v/>
      </c>
      <c r="BC18" s="10">
        <f>IF(OR($C18="",$D18=""),"",IF(AND(DATE($B$1,1,1)+(51-1)*7&lt;=$D18,DATE($B$1,1,1)+51*7-1&gt;=$C18),1,""))</f>
        <v/>
      </c>
      <c r="BD18" s="10">
        <f>IF(OR($C18="",$D18=""),"",IF(AND(DATE($B$1,1,1)+(52-1)*7&lt;=$D18,DATE($B$1,1,1)+52*7-1&gt;=$C18),1,""))</f>
        <v/>
      </c>
      <c r="BE18" s="10">
        <f>IF(OR($C18="",$D18=""),"",IF(AND(DATE($B$1,1,1)+(53-1)*7&lt;=$D18,DATE($B$1,1,1)+53*7-1&gt;=$C18),1,""))</f>
        <v/>
      </c>
      <c r="BF18" s="10">
        <f>IF(OR($C18="",$D18=""),"",IF(AND(DATE($B$1,1,1)+(54-1)*7&lt;=$D18,DATE($B$1,1,1)+54*7-1&gt;=$C18),1,""))</f>
        <v/>
      </c>
    </row>
    <row r="19">
      <c r="A19" s="6" t="n"/>
      <c r="B19" s="6" t="n"/>
      <c r="C19" s="11" t="n"/>
      <c r="D19" s="11" t="n"/>
      <c r="E19" s="10">
        <f>IF(OR($C19="",$D19=""),"",IF(AND(DATE($B$1,1,1)+(1-1)*7&lt;=$D19,DATE($B$1,1,1)+1*7-1&gt;=$C19),1,""))</f>
        <v/>
      </c>
      <c r="F19" s="10">
        <f>IF(OR($C19="",$D19=""),"",IF(AND(DATE($B$1,1,1)+(2-1)*7&lt;=$D19,DATE($B$1,1,1)+2*7-1&gt;=$C19),1,""))</f>
        <v/>
      </c>
      <c r="G19" s="10">
        <f>IF(OR($C19="",$D19=""),"",IF(AND(DATE($B$1,1,1)+(3-1)*7&lt;=$D19,DATE($B$1,1,1)+3*7-1&gt;=$C19),1,""))</f>
        <v/>
      </c>
      <c r="H19" s="10">
        <f>IF(OR($C19="",$D19=""),"",IF(AND(DATE($B$1,1,1)+(4-1)*7&lt;=$D19,DATE($B$1,1,1)+4*7-1&gt;=$C19),1,""))</f>
        <v/>
      </c>
      <c r="I19" s="10">
        <f>IF(OR($C19="",$D19=""),"",IF(AND(DATE($B$1,1,1)+(5-1)*7&lt;=$D19,DATE($B$1,1,1)+5*7-1&gt;=$C19),1,""))</f>
        <v/>
      </c>
      <c r="J19" s="10">
        <f>IF(OR($C19="",$D19=""),"",IF(AND(DATE($B$1,1,1)+(6-1)*7&lt;=$D19,DATE($B$1,1,1)+6*7-1&gt;=$C19),1,""))</f>
        <v/>
      </c>
      <c r="K19" s="10">
        <f>IF(OR($C19="",$D19=""),"",IF(AND(DATE($B$1,1,1)+(7-1)*7&lt;=$D19,DATE($B$1,1,1)+7*7-1&gt;=$C19),1,""))</f>
        <v/>
      </c>
      <c r="L19" s="10">
        <f>IF(OR($C19="",$D19=""),"",IF(AND(DATE($B$1,1,1)+(8-1)*7&lt;=$D19,DATE($B$1,1,1)+8*7-1&gt;=$C19),1,""))</f>
        <v/>
      </c>
      <c r="M19" s="10">
        <f>IF(OR($C19="",$D19=""),"",IF(AND(DATE($B$1,1,1)+(9-1)*7&lt;=$D19,DATE($B$1,1,1)+9*7-1&gt;=$C19),1,""))</f>
        <v/>
      </c>
      <c r="N19" s="10">
        <f>IF(OR($C19="",$D19=""),"",IF(AND(DATE($B$1,1,1)+(10-1)*7&lt;=$D19,DATE($B$1,1,1)+10*7-1&gt;=$C19),1,""))</f>
        <v/>
      </c>
      <c r="O19" s="10">
        <f>IF(OR($C19="",$D19=""),"",IF(AND(DATE($B$1,1,1)+(11-1)*7&lt;=$D19,DATE($B$1,1,1)+11*7-1&gt;=$C19),1,""))</f>
        <v/>
      </c>
      <c r="P19" s="10">
        <f>IF(OR($C19="",$D19=""),"",IF(AND(DATE($B$1,1,1)+(12-1)*7&lt;=$D19,DATE($B$1,1,1)+12*7-1&gt;=$C19),1,""))</f>
        <v/>
      </c>
      <c r="Q19" s="10">
        <f>IF(OR($C19="",$D19=""),"",IF(AND(DATE($B$1,1,1)+(13-1)*7&lt;=$D19,DATE($B$1,1,1)+13*7-1&gt;=$C19),1,""))</f>
        <v/>
      </c>
      <c r="R19" s="10">
        <f>IF(OR($C19="",$D19=""),"",IF(AND(DATE($B$1,1,1)+(14-1)*7&lt;=$D19,DATE($B$1,1,1)+14*7-1&gt;=$C19),1,""))</f>
        <v/>
      </c>
      <c r="S19" s="10">
        <f>IF(OR($C19="",$D19=""),"",IF(AND(DATE($B$1,1,1)+(15-1)*7&lt;=$D19,DATE($B$1,1,1)+15*7-1&gt;=$C19),1,""))</f>
        <v/>
      </c>
      <c r="T19" s="10">
        <f>IF(OR($C19="",$D19=""),"",IF(AND(DATE($B$1,1,1)+(16-1)*7&lt;=$D19,DATE($B$1,1,1)+16*7-1&gt;=$C19),1,""))</f>
        <v/>
      </c>
      <c r="U19" s="10">
        <f>IF(OR($C19="",$D19=""),"",IF(AND(DATE($B$1,1,1)+(17-1)*7&lt;=$D19,DATE($B$1,1,1)+17*7-1&gt;=$C19),1,""))</f>
        <v/>
      </c>
      <c r="V19" s="10">
        <f>IF(OR($C19="",$D19=""),"",IF(AND(DATE($B$1,1,1)+(18-1)*7&lt;=$D19,DATE($B$1,1,1)+18*7-1&gt;=$C19),1,""))</f>
        <v/>
      </c>
      <c r="W19" s="10">
        <f>IF(OR($C19="",$D19=""),"",IF(AND(DATE($B$1,1,1)+(19-1)*7&lt;=$D19,DATE($B$1,1,1)+19*7-1&gt;=$C19),1,""))</f>
        <v/>
      </c>
      <c r="X19" s="10">
        <f>IF(OR($C19="",$D19=""),"",IF(AND(DATE($B$1,1,1)+(20-1)*7&lt;=$D19,DATE($B$1,1,1)+20*7-1&gt;=$C19),1,""))</f>
        <v/>
      </c>
      <c r="Y19" s="10">
        <f>IF(OR($C19="",$D19=""),"",IF(AND(DATE($B$1,1,1)+(21-1)*7&lt;=$D19,DATE($B$1,1,1)+21*7-1&gt;=$C19),1,""))</f>
        <v/>
      </c>
      <c r="Z19" s="10">
        <f>IF(OR($C19="",$D19=""),"",IF(AND(DATE($B$1,1,1)+(22-1)*7&lt;=$D19,DATE($B$1,1,1)+22*7-1&gt;=$C19),1,""))</f>
        <v/>
      </c>
      <c r="AA19" s="10">
        <f>IF(OR($C19="",$D19=""),"",IF(AND(DATE($B$1,1,1)+(23-1)*7&lt;=$D19,DATE($B$1,1,1)+23*7-1&gt;=$C19),1,""))</f>
        <v/>
      </c>
      <c r="AB19" s="10">
        <f>IF(OR($C19="",$D19=""),"",IF(AND(DATE($B$1,1,1)+(24-1)*7&lt;=$D19,DATE($B$1,1,1)+24*7-1&gt;=$C19),1,""))</f>
        <v/>
      </c>
      <c r="AC19" s="10">
        <f>IF(OR($C19="",$D19=""),"",IF(AND(DATE($B$1,1,1)+(25-1)*7&lt;=$D19,DATE($B$1,1,1)+25*7-1&gt;=$C19),1,""))</f>
        <v/>
      </c>
      <c r="AD19" s="10">
        <f>IF(OR($C19="",$D19=""),"",IF(AND(DATE($B$1,1,1)+(26-1)*7&lt;=$D19,DATE($B$1,1,1)+26*7-1&gt;=$C19),1,""))</f>
        <v/>
      </c>
      <c r="AE19" s="10">
        <f>IF(OR($C19="",$D19=""),"",IF(AND(DATE($B$1,1,1)+(27-1)*7&lt;=$D19,DATE($B$1,1,1)+27*7-1&gt;=$C19),1,""))</f>
        <v/>
      </c>
      <c r="AF19" s="10">
        <f>IF(OR($C19="",$D19=""),"",IF(AND(DATE($B$1,1,1)+(28-1)*7&lt;=$D19,DATE($B$1,1,1)+28*7-1&gt;=$C19),1,""))</f>
        <v/>
      </c>
      <c r="AG19" s="10">
        <f>IF(OR($C19="",$D19=""),"",IF(AND(DATE($B$1,1,1)+(29-1)*7&lt;=$D19,DATE($B$1,1,1)+29*7-1&gt;=$C19),1,""))</f>
        <v/>
      </c>
      <c r="AH19" s="10">
        <f>IF(OR($C19="",$D19=""),"",IF(AND(DATE($B$1,1,1)+(30-1)*7&lt;=$D19,DATE($B$1,1,1)+30*7-1&gt;=$C19),1,""))</f>
        <v/>
      </c>
      <c r="AI19" s="10">
        <f>IF(OR($C19="",$D19=""),"",IF(AND(DATE($B$1,1,1)+(31-1)*7&lt;=$D19,DATE($B$1,1,1)+31*7-1&gt;=$C19),1,""))</f>
        <v/>
      </c>
      <c r="AJ19" s="10">
        <f>IF(OR($C19="",$D19=""),"",IF(AND(DATE($B$1,1,1)+(32-1)*7&lt;=$D19,DATE($B$1,1,1)+32*7-1&gt;=$C19),1,""))</f>
        <v/>
      </c>
      <c r="AK19" s="10">
        <f>IF(OR($C19="",$D19=""),"",IF(AND(DATE($B$1,1,1)+(33-1)*7&lt;=$D19,DATE($B$1,1,1)+33*7-1&gt;=$C19),1,""))</f>
        <v/>
      </c>
      <c r="AL19" s="10">
        <f>IF(OR($C19="",$D19=""),"",IF(AND(DATE($B$1,1,1)+(34-1)*7&lt;=$D19,DATE($B$1,1,1)+34*7-1&gt;=$C19),1,""))</f>
        <v/>
      </c>
      <c r="AM19" s="10">
        <f>IF(OR($C19="",$D19=""),"",IF(AND(DATE($B$1,1,1)+(35-1)*7&lt;=$D19,DATE($B$1,1,1)+35*7-1&gt;=$C19),1,""))</f>
        <v/>
      </c>
      <c r="AN19" s="10">
        <f>IF(OR($C19="",$D19=""),"",IF(AND(DATE($B$1,1,1)+(36-1)*7&lt;=$D19,DATE($B$1,1,1)+36*7-1&gt;=$C19),1,""))</f>
        <v/>
      </c>
      <c r="AO19" s="10">
        <f>IF(OR($C19="",$D19=""),"",IF(AND(DATE($B$1,1,1)+(37-1)*7&lt;=$D19,DATE($B$1,1,1)+37*7-1&gt;=$C19),1,""))</f>
        <v/>
      </c>
      <c r="AP19" s="10">
        <f>IF(OR($C19="",$D19=""),"",IF(AND(DATE($B$1,1,1)+(38-1)*7&lt;=$D19,DATE($B$1,1,1)+38*7-1&gt;=$C19),1,""))</f>
        <v/>
      </c>
      <c r="AQ19" s="10">
        <f>IF(OR($C19="",$D19=""),"",IF(AND(DATE($B$1,1,1)+(39-1)*7&lt;=$D19,DATE($B$1,1,1)+39*7-1&gt;=$C19),1,""))</f>
        <v/>
      </c>
      <c r="AR19" s="10">
        <f>IF(OR($C19="",$D19=""),"",IF(AND(DATE($B$1,1,1)+(40-1)*7&lt;=$D19,DATE($B$1,1,1)+40*7-1&gt;=$C19),1,""))</f>
        <v/>
      </c>
      <c r="AS19" s="10">
        <f>IF(OR($C19="",$D19=""),"",IF(AND(DATE($B$1,1,1)+(41-1)*7&lt;=$D19,DATE($B$1,1,1)+41*7-1&gt;=$C19),1,""))</f>
        <v/>
      </c>
      <c r="AT19" s="10">
        <f>IF(OR($C19="",$D19=""),"",IF(AND(DATE($B$1,1,1)+(42-1)*7&lt;=$D19,DATE($B$1,1,1)+42*7-1&gt;=$C19),1,""))</f>
        <v/>
      </c>
      <c r="AU19" s="10">
        <f>IF(OR($C19="",$D19=""),"",IF(AND(DATE($B$1,1,1)+(43-1)*7&lt;=$D19,DATE($B$1,1,1)+43*7-1&gt;=$C19),1,""))</f>
        <v/>
      </c>
      <c r="AV19" s="10">
        <f>IF(OR($C19="",$D19=""),"",IF(AND(DATE($B$1,1,1)+(44-1)*7&lt;=$D19,DATE($B$1,1,1)+44*7-1&gt;=$C19),1,""))</f>
        <v/>
      </c>
      <c r="AW19" s="10">
        <f>IF(OR($C19="",$D19=""),"",IF(AND(DATE($B$1,1,1)+(45-1)*7&lt;=$D19,DATE($B$1,1,1)+45*7-1&gt;=$C19),1,""))</f>
        <v/>
      </c>
      <c r="AX19" s="10">
        <f>IF(OR($C19="",$D19=""),"",IF(AND(DATE($B$1,1,1)+(46-1)*7&lt;=$D19,DATE($B$1,1,1)+46*7-1&gt;=$C19),1,""))</f>
        <v/>
      </c>
      <c r="AY19" s="10">
        <f>IF(OR($C19="",$D19=""),"",IF(AND(DATE($B$1,1,1)+(47-1)*7&lt;=$D19,DATE($B$1,1,1)+47*7-1&gt;=$C19),1,""))</f>
        <v/>
      </c>
      <c r="AZ19" s="10">
        <f>IF(OR($C19="",$D19=""),"",IF(AND(DATE($B$1,1,1)+(48-1)*7&lt;=$D19,DATE($B$1,1,1)+48*7-1&gt;=$C19),1,""))</f>
        <v/>
      </c>
      <c r="BA19" s="10">
        <f>IF(OR($C19="",$D19=""),"",IF(AND(DATE($B$1,1,1)+(49-1)*7&lt;=$D19,DATE($B$1,1,1)+49*7-1&gt;=$C19),1,""))</f>
        <v/>
      </c>
      <c r="BB19" s="10">
        <f>IF(OR($C19="",$D19=""),"",IF(AND(DATE($B$1,1,1)+(50-1)*7&lt;=$D19,DATE($B$1,1,1)+50*7-1&gt;=$C19),1,""))</f>
        <v/>
      </c>
      <c r="BC19" s="10">
        <f>IF(OR($C19="",$D19=""),"",IF(AND(DATE($B$1,1,1)+(51-1)*7&lt;=$D19,DATE($B$1,1,1)+51*7-1&gt;=$C19),1,""))</f>
        <v/>
      </c>
      <c r="BD19" s="10">
        <f>IF(OR($C19="",$D19=""),"",IF(AND(DATE($B$1,1,1)+(52-1)*7&lt;=$D19,DATE($B$1,1,1)+52*7-1&gt;=$C19),1,""))</f>
        <v/>
      </c>
      <c r="BE19" s="10">
        <f>IF(OR($C19="",$D19=""),"",IF(AND(DATE($B$1,1,1)+(53-1)*7&lt;=$D19,DATE($B$1,1,1)+53*7-1&gt;=$C19),1,""))</f>
        <v/>
      </c>
      <c r="BF19" s="10">
        <f>IF(OR($C19="",$D19=""),"",IF(AND(DATE($B$1,1,1)+(54-1)*7&lt;=$D19,DATE($B$1,1,1)+54*7-1&gt;=$C19),1,""))</f>
        <v/>
      </c>
    </row>
    <row r="20">
      <c r="A20" s="6" t="n"/>
      <c r="B20" s="6" t="n"/>
      <c r="C20" s="11" t="n"/>
      <c r="D20" s="11" t="n"/>
      <c r="E20" s="10">
        <f>IF(OR($C20="",$D20=""),"",IF(AND(DATE($B$1,1,1)+(1-1)*7&lt;=$D20,DATE($B$1,1,1)+1*7-1&gt;=$C20),1,""))</f>
        <v/>
      </c>
      <c r="F20" s="10">
        <f>IF(OR($C20="",$D20=""),"",IF(AND(DATE($B$1,1,1)+(2-1)*7&lt;=$D20,DATE($B$1,1,1)+2*7-1&gt;=$C20),1,""))</f>
        <v/>
      </c>
      <c r="G20" s="10">
        <f>IF(OR($C20="",$D20=""),"",IF(AND(DATE($B$1,1,1)+(3-1)*7&lt;=$D20,DATE($B$1,1,1)+3*7-1&gt;=$C20),1,""))</f>
        <v/>
      </c>
      <c r="H20" s="10">
        <f>IF(OR($C20="",$D20=""),"",IF(AND(DATE($B$1,1,1)+(4-1)*7&lt;=$D20,DATE($B$1,1,1)+4*7-1&gt;=$C20),1,""))</f>
        <v/>
      </c>
      <c r="I20" s="10">
        <f>IF(OR($C20="",$D20=""),"",IF(AND(DATE($B$1,1,1)+(5-1)*7&lt;=$D20,DATE($B$1,1,1)+5*7-1&gt;=$C20),1,""))</f>
        <v/>
      </c>
      <c r="J20" s="10">
        <f>IF(OR($C20="",$D20=""),"",IF(AND(DATE($B$1,1,1)+(6-1)*7&lt;=$D20,DATE($B$1,1,1)+6*7-1&gt;=$C20),1,""))</f>
        <v/>
      </c>
      <c r="K20" s="10">
        <f>IF(OR($C20="",$D20=""),"",IF(AND(DATE($B$1,1,1)+(7-1)*7&lt;=$D20,DATE($B$1,1,1)+7*7-1&gt;=$C20),1,""))</f>
        <v/>
      </c>
      <c r="L20" s="10">
        <f>IF(OR($C20="",$D20=""),"",IF(AND(DATE($B$1,1,1)+(8-1)*7&lt;=$D20,DATE($B$1,1,1)+8*7-1&gt;=$C20),1,""))</f>
        <v/>
      </c>
      <c r="M20" s="10">
        <f>IF(OR($C20="",$D20=""),"",IF(AND(DATE($B$1,1,1)+(9-1)*7&lt;=$D20,DATE($B$1,1,1)+9*7-1&gt;=$C20),1,""))</f>
        <v/>
      </c>
      <c r="N20" s="10">
        <f>IF(OR($C20="",$D20=""),"",IF(AND(DATE($B$1,1,1)+(10-1)*7&lt;=$D20,DATE($B$1,1,1)+10*7-1&gt;=$C20),1,""))</f>
        <v/>
      </c>
      <c r="O20" s="10">
        <f>IF(OR($C20="",$D20=""),"",IF(AND(DATE($B$1,1,1)+(11-1)*7&lt;=$D20,DATE($B$1,1,1)+11*7-1&gt;=$C20),1,""))</f>
        <v/>
      </c>
      <c r="P20" s="10">
        <f>IF(OR($C20="",$D20=""),"",IF(AND(DATE($B$1,1,1)+(12-1)*7&lt;=$D20,DATE($B$1,1,1)+12*7-1&gt;=$C20),1,""))</f>
        <v/>
      </c>
      <c r="Q20" s="10">
        <f>IF(OR($C20="",$D20=""),"",IF(AND(DATE($B$1,1,1)+(13-1)*7&lt;=$D20,DATE($B$1,1,1)+13*7-1&gt;=$C20),1,""))</f>
        <v/>
      </c>
      <c r="R20" s="10">
        <f>IF(OR($C20="",$D20=""),"",IF(AND(DATE($B$1,1,1)+(14-1)*7&lt;=$D20,DATE($B$1,1,1)+14*7-1&gt;=$C20),1,""))</f>
        <v/>
      </c>
      <c r="S20" s="10">
        <f>IF(OR($C20="",$D20=""),"",IF(AND(DATE($B$1,1,1)+(15-1)*7&lt;=$D20,DATE($B$1,1,1)+15*7-1&gt;=$C20),1,""))</f>
        <v/>
      </c>
      <c r="T20" s="10">
        <f>IF(OR($C20="",$D20=""),"",IF(AND(DATE($B$1,1,1)+(16-1)*7&lt;=$D20,DATE($B$1,1,1)+16*7-1&gt;=$C20),1,""))</f>
        <v/>
      </c>
      <c r="U20" s="10">
        <f>IF(OR($C20="",$D20=""),"",IF(AND(DATE($B$1,1,1)+(17-1)*7&lt;=$D20,DATE($B$1,1,1)+17*7-1&gt;=$C20),1,""))</f>
        <v/>
      </c>
      <c r="V20" s="10">
        <f>IF(OR($C20="",$D20=""),"",IF(AND(DATE($B$1,1,1)+(18-1)*7&lt;=$D20,DATE($B$1,1,1)+18*7-1&gt;=$C20),1,""))</f>
        <v/>
      </c>
      <c r="W20" s="10">
        <f>IF(OR($C20="",$D20=""),"",IF(AND(DATE($B$1,1,1)+(19-1)*7&lt;=$D20,DATE($B$1,1,1)+19*7-1&gt;=$C20),1,""))</f>
        <v/>
      </c>
      <c r="X20" s="10">
        <f>IF(OR($C20="",$D20=""),"",IF(AND(DATE($B$1,1,1)+(20-1)*7&lt;=$D20,DATE($B$1,1,1)+20*7-1&gt;=$C20),1,""))</f>
        <v/>
      </c>
      <c r="Y20" s="10">
        <f>IF(OR($C20="",$D20=""),"",IF(AND(DATE($B$1,1,1)+(21-1)*7&lt;=$D20,DATE($B$1,1,1)+21*7-1&gt;=$C20),1,""))</f>
        <v/>
      </c>
      <c r="Z20" s="10">
        <f>IF(OR($C20="",$D20=""),"",IF(AND(DATE($B$1,1,1)+(22-1)*7&lt;=$D20,DATE($B$1,1,1)+22*7-1&gt;=$C20),1,""))</f>
        <v/>
      </c>
      <c r="AA20" s="10">
        <f>IF(OR($C20="",$D20=""),"",IF(AND(DATE($B$1,1,1)+(23-1)*7&lt;=$D20,DATE($B$1,1,1)+23*7-1&gt;=$C20),1,""))</f>
        <v/>
      </c>
      <c r="AB20" s="10">
        <f>IF(OR($C20="",$D20=""),"",IF(AND(DATE($B$1,1,1)+(24-1)*7&lt;=$D20,DATE($B$1,1,1)+24*7-1&gt;=$C20),1,""))</f>
        <v/>
      </c>
      <c r="AC20" s="10">
        <f>IF(OR($C20="",$D20=""),"",IF(AND(DATE($B$1,1,1)+(25-1)*7&lt;=$D20,DATE($B$1,1,1)+25*7-1&gt;=$C20),1,""))</f>
        <v/>
      </c>
      <c r="AD20" s="10">
        <f>IF(OR($C20="",$D20=""),"",IF(AND(DATE($B$1,1,1)+(26-1)*7&lt;=$D20,DATE($B$1,1,1)+26*7-1&gt;=$C20),1,""))</f>
        <v/>
      </c>
      <c r="AE20" s="10">
        <f>IF(OR($C20="",$D20=""),"",IF(AND(DATE($B$1,1,1)+(27-1)*7&lt;=$D20,DATE($B$1,1,1)+27*7-1&gt;=$C20),1,""))</f>
        <v/>
      </c>
      <c r="AF20" s="10">
        <f>IF(OR($C20="",$D20=""),"",IF(AND(DATE($B$1,1,1)+(28-1)*7&lt;=$D20,DATE($B$1,1,1)+28*7-1&gt;=$C20),1,""))</f>
        <v/>
      </c>
      <c r="AG20" s="10">
        <f>IF(OR($C20="",$D20=""),"",IF(AND(DATE($B$1,1,1)+(29-1)*7&lt;=$D20,DATE($B$1,1,1)+29*7-1&gt;=$C20),1,""))</f>
        <v/>
      </c>
      <c r="AH20" s="10">
        <f>IF(OR($C20="",$D20=""),"",IF(AND(DATE($B$1,1,1)+(30-1)*7&lt;=$D20,DATE($B$1,1,1)+30*7-1&gt;=$C20),1,""))</f>
        <v/>
      </c>
      <c r="AI20" s="10">
        <f>IF(OR($C20="",$D20=""),"",IF(AND(DATE($B$1,1,1)+(31-1)*7&lt;=$D20,DATE($B$1,1,1)+31*7-1&gt;=$C20),1,""))</f>
        <v/>
      </c>
      <c r="AJ20" s="10">
        <f>IF(OR($C20="",$D20=""),"",IF(AND(DATE($B$1,1,1)+(32-1)*7&lt;=$D20,DATE($B$1,1,1)+32*7-1&gt;=$C20),1,""))</f>
        <v/>
      </c>
      <c r="AK20" s="10">
        <f>IF(OR($C20="",$D20=""),"",IF(AND(DATE($B$1,1,1)+(33-1)*7&lt;=$D20,DATE($B$1,1,1)+33*7-1&gt;=$C20),1,""))</f>
        <v/>
      </c>
      <c r="AL20" s="10">
        <f>IF(OR($C20="",$D20=""),"",IF(AND(DATE($B$1,1,1)+(34-1)*7&lt;=$D20,DATE($B$1,1,1)+34*7-1&gt;=$C20),1,""))</f>
        <v/>
      </c>
      <c r="AM20" s="10">
        <f>IF(OR($C20="",$D20=""),"",IF(AND(DATE($B$1,1,1)+(35-1)*7&lt;=$D20,DATE($B$1,1,1)+35*7-1&gt;=$C20),1,""))</f>
        <v/>
      </c>
      <c r="AN20" s="10">
        <f>IF(OR($C20="",$D20=""),"",IF(AND(DATE($B$1,1,1)+(36-1)*7&lt;=$D20,DATE($B$1,1,1)+36*7-1&gt;=$C20),1,""))</f>
        <v/>
      </c>
      <c r="AO20" s="10">
        <f>IF(OR($C20="",$D20=""),"",IF(AND(DATE($B$1,1,1)+(37-1)*7&lt;=$D20,DATE($B$1,1,1)+37*7-1&gt;=$C20),1,""))</f>
        <v/>
      </c>
      <c r="AP20" s="10">
        <f>IF(OR($C20="",$D20=""),"",IF(AND(DATE($B$1,1,1)+(38-1)*7&lt;=$D20,DATE($B$1,1,1)+38*7-1&gt;=$C20),1,""))</f>
        <v/>
      </c>
      <c r="AQ20" s="10">
        <f>IF(OR($C20="",$D20=""),"",IF(AND(DATE($B$1,1,1)+(39-1)*7&lt;=$D20,DATE($B$1,1,1)+39*7-1&gt;=$C20),1,""))</f>
        <v/>
      </c>
      <c r="AR20" s="10">
        <f>IF(OR($C20="",$D20=""),"",IF(AND(DATE($B$1,1,1)+(40-1)*7&lt;=$D20,DATE($B$1,1,1)+40*7-1&gt;=$C20),1,""))</f>
        <v/>
      </c>
      <c r="AS20" s="10">
        <f>IF(OR($C20="",$D20=""),"",IF(AND(DATE($B$1,1,1)+(41-1)*7&lt;=$D20,DATE($B$1,1,1)+41*7-1&gt;=$C20),1,""))</f>
        <v/>
      </c>
      <c r="AT20" s="10">
        <f>IF(OR($C20="",$D20=""),"",IF(AND(DATE($B$1,1,1)+(42-1)*7&lt;=$D20,DATE($B$1,1,1)+42*7-1&gt;=$C20),1,""))</f>
        <v/>
      </c>
      <c r="AU20" s="10">
        <f>IF(OR($C20="",$D20=""),"",IF(AND(DATE($B$1,1,1)+(43-1)*7&lt;=$D20,DATE($B$1,1,1)+43*7-1&gt;=$C20),1,""))</f>
        <v/>
      </c>
      <c r="AV20" s="10">
        <f>IF(OR($C20="",$D20=""),"",IF(AND(DATE($B$1,1,1)+(44-1)*7&lt;=$D20,DATE($B$1,1,1)+44*7-1&gt;=$C20),1,""))</f>
        <v/>
      </c>
      <c r="AW20" s="10">
        <f>IF(OR($C20="",$D20=""),"",IF(AND(DATE($B$1,1,1)+(45-1)*7&lt;=$D20,DATE($B$1,1,1)+45*7-1&gt;=$C20),1,""))</f>
        <v/>
      </c>
      <c r="AX20" s="10">
        <f>IF(OR($C20="",$D20=""),"",IF(AND(DATE($B$1,1,1)+(46-1)*7&lt;=$D20,DATE($B$1,1,1)+46*7-1&gt;=$C20),1,""))</f>
        <v/>
      </c>
      <c r="AY20" s="10">
        <f>IF(OR($C20="",$D20=""),"",IF(AND(DATE($B$1,1,1)+(47-1)*7&lt;=$D20,DATE($B$1,1,1)+47*7-1&gt;=$C20),1,""))</f>
        <v/>
      </c>
      <c r="AZ20" s="10">
        <f>IF(OR($C20="",$D20=""),"",IF(AND(DATE($B$1,1,1)+(48-1)*7&lt;=$D20,DATE($B$1,1,1)+48*7-1&gt;=$C20),1,""))</f>
        <v/>
      </c>
      <c r="BA20" s="10">
        <f>IF(OR($C20="",$D20=""),"",IF(AND(DATE($B$1,1,1)+(49-1)*7&lt;=$D20,DATE($B$1,1,1)+49*7-1&gt;=$C20),1,""))</f>
        <v/>
      </c>
      <c r="BB20" s="10">
        <f>IF(OR($C20="",$D20=""),"",IF(AND(DATE($B$1,1,1)+(50-1)*7&lt;=$D20,DATE($B$1,1,1)+50*7-1&gt;=$C20),1,""))</f>
        <v/>
      </c>
      <c r="BC20" s="10">
        <f>IF(OR($C20="",$D20=""),"",IF(AND(DATE($B$1,1,1)+(51-1)*7&lt;=$D20,DATE($B$1,1,1)+51*7-1&gt;=$C20),1,""))</f>
        <v/>
      </c>
      <c r="BD20" s="10">
        <f>IF(OR($C20="",$D20=""),"",IF(AND(DATE($B$1,1,1)+(52-1)*7&lt;=$D20,DATE($B$1,1,1)+52*7-1&gt;=$C20),1,""))</f>
        <v/>
      </c>
      <c r="BE20" s="10">
        <f>IF(OR($C20="",$D20=""),"",IF(AND(DATE($B$1,1,1)+(53-1)*7&lt;=$D20,DATE($B$1,1,1)+53*7-1&gt;=$C20),1,""))</f>
        <v/>
      </c>
      <c r="BF20" s="10">
        <f>IF(OR($C20="",$D20=""),"",IF(AND(DATE($B$1,1,1)+(54-1)*7&lt;=$D20,DATE($B$1,1,1)+54*7-1&gt;=$C20),1,""))</f>
        <v/>
      </c>
    </row>
    <row r="21">
      <c r="A21" s="6" t="n"/>
      <c r="B21" s="6" t="n"/>
      <c r="C21" s="11" t="n"/>
      <c r="D21" s="11" t="n"/>
      <c r="E21" s="10">
        <f>IF(OR($C21="",$D21=""),"",IF(AND(DATE($B$1,1,1)+(1-1)*7&lt;=$D21,DATE($B$1,1,1)+1*7-1&gt;=$C21),1,""))</f>
        <v/>
      </c>
      <c r="F21" s="10">
        <f>IF(OR($C21="",$D21=""),"",IF(AND(DATE($B$1,1,1)+(2-1)*7&lt;=$D21,DATE($B$1,1,1)+2*7-1&gt;=$C21),1,""))</f>
        <v/>
      </c>
      <c r="G21" s="10">
        <f>IF(OR($C21="",$D21=""),"",IF(AND(DATE($B$1,1,1)+(3-1)*7&lt;=$D21,DATE($B$1,1,1)+3*7-1&gt;=$C21),1,""))</f>
        <v/>
      </c>
      <c r="H21" s="10">
        <f>IF(OR($C21="",$D21=""),"",IF(AND(DATE($B$1,1,1)+(4-1)*7&lt;=$D21,DATE($B$1,1,1)+4*7-1&gt;=$C21),1,""))</f>
        <v/>
      </c>
      <c r="I21" s="10">
        <f>IF(OR($C21="",$D21=""),"",IF(AND(DATE($B$1,1,1)+(5-1)*7&lt;=$D21,DATE($B$1,1,1)+5*7-1&gt;=$C21),1,""))</f>
        <v/>
      </c>
      <c r="J21" s="10">
        <f>IF(OR($C21="",$D21=""),"",IF(AND(DATE($B$1,1,1)+(6-1)*7&lt;=$D21,DATE($B$1,1,1)+6*7-1&gt;=$C21),1,""))</f>
        <v/>
      </c>
      <c r="K21" s="10">
        <f>IF(OR($C21="",$D21=""),"",IF(AND(DATE($B$1,1,1)+(7-1)*7&lt;=$D21,DATE($B$1,1,1)+7*7-1&gt;=$C21),1,""))</f>
        <v/>
      </c>
      <c r="L21" s="10">
        <f>IF(OR($C21="",$D21=""),"",IF(AND(DATE($B$1,1,1)+(8-1)*7&lt;=$D21,DATE($B$1,1,1)+8*7-1&gt;=$C21),1,""))</f>
        <v/>
      </c>
      <c r="M21" s="10">
        <f>IF(OR($C21="",$D21=""),"",IF(AND(DATE($B$1,1,1)+(9-1)*7&lt;=$D21,DATE($B$1,1,1)+9*7-1&gt;=$C21),1,""))</f>
        <v/>
      </c>
      <c r="N21" s="10">
        <f>IF(OR($C21="",$D21=""),"",IF(AND(DATE($B$1,1,1)+(10-1)*7&lt;=$D21,DATE($B$1,1,1)+10*7-1&gt;=$C21),1,""))</f>
        <v/>
      </c>
      <c r="O21" s="10">
        <f>IF(OR($C21="",$D21=""),"",IF(AND(DATE($B$1,1,1)+(11-1)*7&lt;=$D21,DATE($B$1,1,1)+11*7-1&gt;=$C21),1,""))</f>
        <v/>
      </c>
      <c r="P21" s="10">
        <f>IF(OR($C21="",$D21=""),"",IF(AND(DATE($B$1,1,1)+(12-1)*7&lt;=$D21,DATE($B$1,1,1)+12*7-1&gt;=$C21),1,""))</f>
        <v/>
      </c>
      <c r="Q21" s="10">
        <f>IF(OR($C21="",$D21=""),"",IF(AND(DATE($B$1,1,1)+(13-1)*7&lt;=$D21,DATE($B$1,1,1)+13*7-1&gt;=$C21),1,""))</f>
        <v/>
      </c>
      <c r="R21" s="10">
        <f>IF(OR($C21="",$D21=""),"",IF(AND(DATE($B$1,1,1)+(14-1)*7&lt;=$D21,DATE($B$1,1,1)+14*7-1&gt;=$C21),1,""))</f>
        <v/>
      </c>
      <c r="S21" s="10">
        <f>IF(OR($C21="",$D21=""),"",IF(AND(DATE($B$1,1,1)+(15-1)*7&lt;=$D21,DATE($B$1,1,1)+15*7-1&gt;=$C21),1,""))</f>
        <v/>
      </c>
      <c r="T21" s="10">
        <f>IF(OR($C21="",$D21=""),"",IF(AND(DATE($B$1,1,1)+(16-1)*7&lt;=$D21,DATE($B$1,1,1)+16*7-1&gt;=$C21),1,""))</f>
        <v/>
      </c>
      <c r="U21" s="10">
        <f>IF(OR($C21="",$D21=""),"",IF(AND(DATE($B$1,1,1)+(17-1)*7&lt;=$D21,DATE($B$1,1,1)+17*7-1&gt;=$C21),1,""))</f>
        <v/>
      </c>
      <c r="V21" s="10">
        <f>IF(OR($C21="",$D21=""),"",IF(AND(DATE($B$1,1,1)+(18-1)*7&lt;=$D21,DATE($B$1,1,1)+18*7-1&gt;=$C21),1,""))</f>
        <v/>
      </c>
      <c r="W21" s="10">
        <f>IF(OR($C21="",$D21=""),"",IF(AND(DATE($B$1,1,1)+(19-1)*7&lt;=$D21,DATE($B$1,1,1)+19*7-1&gt;=$C21),1,""))</f>
        <v/>
      </c>
      <c r="X21" s="10">
        <f>IF(OR($C21="",$D21=""),"",IF(AND(DATE($B$1,1,1)+(20-1)*7&lt;=$D21,DATE($B$1,1,1)+20*7-1&gt;=$C21),1,""))</f>
        <v/>
      </c>
      <c r="Y21" s="10">
        <f>IF(OR($C21="",$D21=""),"",IF(AND(DATE($B$1,1,1)+(21-1)*7&lt;=$D21,DATE($B$1,1,1)+21*7-1&gt;=$C21),1,""))</f>
        <v/>
      </c>
      <c r="Z21" s="10">
        <f>IF(OR($C21="",$D21=""),"",IF(AND(DATE($B$1,1,1)+(22-1)*7&lt;=$D21,DATE($B$1,1,1)+22*7-1&gt;=$C21),1,""))</f>
        <v/>
      </c>
      <c r="AA21" s="10">
        <f>IF(OR($C21="",$D21=""),"",IF(AND(DATE($B$1,1,1)+(23-1)*7&lt;=$D21,DATE($B$1,1,1)+23*7-1&gt;=$C21),1,""))</f>
        <v/>
      </c>
      <c r="AB21" s="10">
        <f>IF(OR($C21="",$D21=""),"",IF(AND(DATE($B$1,1,1)+(24-1)*7&lt;=$D21,DATE($B$1,1,1)+24*7-1&gt;=$C21),1,""))</f>
        <v/>
      </c>
      <c r="AC21" s="10">
        <f>IF(OR($C21="",$D21=""),"",IF(AND(DATE($B$1,1,1)+(25-1)*7&lt;=$D21,DATE($B$1,1,1)+25*7-1&gt;=$C21),1,""))</f>
        <v/>
      </c>
      <c r="AD21" s="10">
        <f>IF(OR($C21="",$D21=""),"",IF(AND(DATE($B$1,1,1)+(26-1)*7&lt;=$D21,DATE($B$1,1,1)+26*7-1&gt;=$C21),1,""))</f>
        <v/>
      </c>
      <c r="AE21" s="10">
        <f>IF(OR($C21="",$D21=""),"",IF(AND(DATE($B$1,1,1)+(27-1)*7&lt;=$D21,DATE($B$1,1,1)+27*7-1&gt;=$C21),1,""))</f>
        <v/>
      </c>
      <c r="AF21" s="10">
        <f>IF(OR($C21="",$D21=""),"",IF(AND(DATE($B$1,1,1)+(28-1)*7&lt;=$D21,DATE($B$1,1,1)+28*7-1&gt;=$C21),1,""))</f>
        <v/>
      </c>
      <c r="AG21" s="10">
        <f>IF(OR($C21="",$D21=""),"",IF(AND(DATE($B$1,1,1)+(29-1)*7&lt;=$D21,DATE($B$1,1,1)+29*7-1&gt;=$C21),1,""))</f>
        <v/>
      </c>
      <c r="AH21" s="10">
        <f>IF(OR($C21="",$D21=""),"",IF(AND(DATE($B$1,1,1)+(30-1)*7&lt;=$D21,DATE($B$1,1,1)+30*7-1&gt;=$C21),1,""))</f>
        <v/>
      </c>
      <c r="AI21" s="10">
        <f>IF(OR($C21="",$D21=""),"",IF(AND(DATE($B$1,1,1)+(31-1)*7&lt;=$D21,DATE($B$1,1,1)+31*7-1&gt;=$C21),1,""))</f>
        <v/>
      </c>
      <c r="AJ21" s="10">
        <f>IF(OR($C21="",$D21=""),"",IF(AND(DATE($B$1,1,1)+(32-1)*7&lt;=$D21,DATE($B$1,1,1)+32*7-1&gt;=$C21),1,""))</f>
        <v/>
      </c>
      <c r="AK21" s="10">
        <f>IF(OR($C21="",$D21=""),"",IF(AND(DATE($B$1,1,1)+(33-1)*7&lt;=$D21,DATE($B$1,1,1)+33*7-1&gt;=$C21),1,""))</f>
        <v/>
      </c>
      <c r="AL21" s="10">
        <f>IF(OR($C21="",$D21=""),"",IF(AND(DATE($B$1,1,1)+(34-1)*7&lt;=$D21,DATE($B$1,1,1)+34*7-1&gt;=$C21),1,""))</f>
        <v/>
      </c>
      <c r="AM21" s="10">
        <f>IF(OR($C21="",$D21=""),"",IF(AND(DATE($B$1,1,1)+(35-1)*7&lt;=$D21,DATE($B$1,1,1)+35*7-1&gt;=$C21),1,""))</f>
        <v/>
      </c>
      <c r="AN21" s="10">
        <f>IF(OR($C21="",$D21=""),"",IF(AND(DATE($B$1,1,1)+(36-1)*7&lt;=$D21,DATE($B$1,1,1)+36*7-1&gt;=$C21),1,""))</f>
        <v/>
      </c>
      <c r="AO21" s="10">
        <f>IF(OR($C21="",$D21=""),"",IF(AND(DATE($B$1,1,1)+(37-1)*7&lt;=$D21,DATE($B$1,1,1)+37*7-1&gt;=$C21),1,""))</f>
        <v/>
      </c>
      <c r="AP21" s="10">
        <f>IF(OR($C21="",$D21=""),"",IF(AND(DATE($B$1,1,1)+(38-1)*7&lt;=$D21,DATE($B$1,1,1)+38*7-1&gt;=$C21),1,""))</f>
        <v/>
      </c>
      <c r="AQ21" s="10">
        <f>IF(OR($C21="",$D21=""),"",IF(AND(DATE($B$1,1,1)+(39-1)*7&lt;=$D21,DATE($B$1,1,1)+39*7-1&gt;=$C21),1,""))</f>
        <v/>
      </c>
      <c r="AR21" s="10">
        <f>IF(OR($C21="",$D21=""),"",IF(AND(DATE($B$1,1,1)+(40-1)*7&lt;=$D21,DATE($B$1,1,1)+40*7-1&gt;=$C21),1,""))</f>
        <v/>
      </c>
      <c r="AS21" s="10">
        <f>IF(OR($C21="",$D21=""),"",IF(AND(DATE($B$1,1,1)+(41-1)*7&lt;=$D21,DATE($B$1,1,1)+41*7-1&gt;=$C21),1,""))</f>
        <v/>
      </c>
      <c r="AT21" s="10">
        <f>IF(OR($C21="",$D21=""),"",IF(AND(DATE($B$1,1,1)+(42-1)*7&lt;=$D21,DATE($B$1,1,1)+42*7-1&gt;=$C21),1,""))</f>
        <v/>
      </c>
      <c r="AU21" s="10">
        <f>IF(OR($C21="",$D21=""),"",IF(AND(DATE($B$1,1,1)+(43-1)*7&lt;=$D21,DATE($B$1,1,1)+43*7-1&gt;=$C21),1,""))</f>
        <v/>
      </c>
      <c r="AV21" s="10">
        <f>IF(OR($C21="",$D21=""),"",IF(AND(DATE($B$1,1,1)+(44-1)*7&lt;=$D21,DATE($B$1,1,1)+44*7-1&gt;=$C21),1,""))</f>
        <v/>
      </c>
      <c r="AW21" s="10">
        <f>IF(OR($C21="",$D21=""),"",IF(AND(DATE($B$1,1,1)+(45-1)*7&lt;=$D21,DATE($B$1,1,1)+45*7-1&gt;=$C21),1,""))</f>
        <v/>
      </c>
      <c r="AX21" s="10">
        <f>IF(OR($C21="",$D21=""),"",IF(AND(DATE($B$1,1,1)+(46-1)*7&lt;=$D21,DATE($B$1,1,1)+46*7-1&gt;=$C21),1,""))</f>
        <v/>
      </c>
      <c r="AY21" s="10">
        <f>IF(OR($C21="",$D21=""),"",IF(AND(DATE($B$1,1,1)+(47-1)*7&lt;=$D21,DATE($B$1,1,1)+47*7-1&gt;=$C21),1,""))</f>
        <v/>
      </c>
      <c r="AZ21" s="10">
        <f>IF(OR($C21="",$D21=""),"",IF(AND(DATE($B$1,1,1)+(48-1)*7&lt;=$D21,DATE($B$1,1,1)+48*7-1&gt;=$C21),1,""))</f>
        <v/>
      </c>
      <c r="BA21" s="10">
        <f>IF(OR($C21="",$D21=""),"",IF(AND(DATE($B$1,1,1)+(49-1)*7&lt;=$D21,DATE($B$1,1,1)+49*7-1&gt;=$C21),1,""))</f>
        <v/>
      </c>
      <c r="BB21" s="10">
        <f>IF(OR($C21="",$D21=""),"",IF(AND(DATE($B$1,1,1)+(50-1)*7&lt;=$D21,DATE($B$1,1,1)+50*7-1&gt;=$C21),1,""))</f>
        <v/>
      </c>
      <c r="BC21" s="10">
        <f>IF(OR($C21="",$D21=""),"",IF(AND(DATE($B$1,1,1)+(51-1)*7&lt;=$D21,DATE($B$1,1,1)+51*7-1&gt;=$C21),1,""))</f>
        <v/>
      </c>
      <c r="BD21" s="10">
        <f>IF(OR($C21="",$D21=""),"",IF(AND(DATE($B$1,1,1)+(52-1)*7&lt;=$D21,DATE($B$1,1,1)+52*7-1&gt;=$C21),1,""))</f>
        <v/>
      </c>
      <c r="BE21" s="10">
        <f>IF(OR($C21="",$D21=""),"",IF(AND(DATE($B$1,1,1)+(53-1)*7&lt;=$D21,DATE($B$1,1,1)+53*7-1&gt;=$C21),1,""))</f>
        <v/>
      </c>
      <c r="BF21" s="10">
        <f>IF(OR($C21="",$D21=""),"",IF(AND(DATE($B$1,1,1)+(54-1)*7&lt;=$D21,DATE($B$1,1,1)+54*7-1&gt;=$C21),1,""))</f>
        <v/>
      </c>
    </row>
    <row r="22">
      <c r="A22" s="6" t="n"/>
      <c r="B22" s="6" t="n"/>
      <c r="C22" s="11" t="n"/>
      <c r="D22" s="11" t="n"/>
      <c r="E22" s="10">
        <f>IF(OR($C22="",$D22=""),"",IF(AND(DATE($B$1,1,1)+(1-1)*7&lt;=$D22,DATE($B$1,1,1)+1*7-1&gt;=$C22),1,""))</f>
        <v/>
      </c>
      <c r="F22" s="10">
        <f>IF(OR($C22="",$D22=""),"",IF(AND(DATE($B$1,1,1)+(2-1)*7&lt;=$D22,DATE($B$1,1,1)+2*7-1&gt;=$C22),1,""))</f>
        <v/>
      </c>
      <c r="G22" s="10">
        <f>IF(OR($C22="",$D22=""),"",IF(AND(DATE($B$1,1,1)+(3-1)*7&lt;=$D22,DATE($B$1,1,1)+3*7-1&gt;=$C22),1,""))</f>
        <v/>
      </c>
      <c r="H22" s="10">
        <f>IF(OR($C22="",$D22=""),"",IF(AND(DATE($B$1,1,1)+(4-1)*7&lt;=$D22,DATE($B$1,1,1)+4*7-1&gt;=$C22),1,""))</f>
        <v/>
      </c>
      <c r="I22" s="10">
        <f>IF(OR($C22="",$D22=""),"",IF(AND(DATE($B$1,1,1)+(5-1)*7&lt;=$D22,DATE($B$1,1,1)+5*7-1&gt;=$C22),1,""))</f>
        <v/>
      </c>
      <c r="J22" s="10">
        <f>IF(OR($C22="",$D22=""),"",IF(AND(DATE($B$1,1,1)+(6-1)*7&lt;=$D22,DATE($B$1,1,1)+6*7-1&gt;=$C22),1,""))</f>
        <v/>
      </c>
      <c r="K22" s="10">
        <f>IF(OR($C22="",$D22=""),"",IF(AND(DATE($B$1,1,1)+(7-1)*7&lt;=$D22,DATE($B$1,1,1)+7*7-1&gt;=$C22),1,""))</f>
        <v/>
      </c>
      <c r="L22" s="10">
        <f>IF(OR($C22="",$D22=""),"",IF(AND(DATE($B$1,1,1)+(8-1)*7&lt;=$D22,DATE($B$1,1,1)+8*7-1&gt;=$C22),1,""))</f>
        <v/>
      </c>
      <c r="M22" s="10">
        <f>IF(OR($C22="",$D22=""),"",IF(AND(DATE($B$1,1,1)+(9-1)*7&lt;=$D22,DATE($B$1,1,1)+9*7-1&gt;=$C22),1,""))</f>
        <v/>
      </c>
      <c r="N22" s="10">
        <f>IF(OR($C22="",$D22=""),"",IF(AND(DATE($B$1,1,1)+(10-1)*7&lt;=$D22,DATE($B$1,1,1)+10*7-1&gt;=$C22),1,""))</f>
        <v/>
      </c>
      <c r="O22" s="10">
        <f>IF(OR($C22="",$D22=""),"",IF(AND(DATE($B$1,1,1)+(11-1)*7&lt;=$D22,DATE($B$1,1,1)+11*7-1&gt;=$C22),1,""))</f>
        <v/>
      </c>
      <c r="P22" s="10">
        <f>IF(OR($C22="",$D22=""),"",IF(AND(DATE($B$1,1,1)+(12-1)*7&lt;=$D22,DATE($B$1,1,1)+12*7-1&gt;=$C22),1,""))</f>
        <v/>
      </c>
      <c r="Q22" s="10">
        <f>IF(OR($C22="",$D22=""),"",IF(AND(DATE($B$1,1,1)+(13-1)*7&lt;=$D22,DATE($B$1,1,1)+13*7-1&gt;=$C22),1,""))</f>
        <v/>
      </c>
      <c r="R22" s="10">
        <f>IF(OR($C22="",$D22=""),"",IF(AND(DATE($B$1,1,1)+(14-1)*7&lt;=$D22,DATE($B$1,1,1)+14*7-1&gt;=$C22),1,""))</f>
        <v/>
      </c>
      <c r="S22" s="10">
        <f>IF(OR($C22="",$D22=""),"",IF(AND(DATE($B$1,1,1)+(15-1)*7&lt;=$D22,DATE($B$1,1,1)+15*7-1&gt;=$C22),1,""))</f>
        <v/>
      </c>
      <c r="T22" s="10">
        <f>IF(OR($C22="",$D22=""),"",IF(AND(DATE($B$1,1,1)+(16-1)*7&lt;=$D22,DATE($B$1,1,1)+16*7-1&gt;=$C22),1,""))</f>
        <v/>
      </c>
      <c r="U22" s="10">
        <f>IF(OR($C22="",$D22=""),"",IF(AND(DATE($B$1,1,1)+(17-1)*7&lt;=$D22,DATE($B$1,1,1)+17*7-1&gt;=$C22),1,""))</f>
        <v/>
      </c>
      <c r="V22" s="10">
        <f>IF(OR($C22="",$D22=""),"",IF(AND(DATE($B$1,1,1)+(18-1)*7&lt;=$D22,DATE($B$1,1,1)+18*7-1&gt;=$C22),1,""))</f>
        <v/>
      </c>
      <c r="W22" s="10">
        <f>IF(OR($C22="",$D22=""),"",IF(AND(DATE($B$1,1,1)+(19-1)*7&lt;=$D22,DATE($B$1,1,1)+19*7-1&gt;=$C22),1,""))</f>
        <v/>
      </c>
      <c r="X22" s="10">
        <f>IF(OR($C22="",$D22=""),"",IF(AND(DATE($B$1,1,1)+(20-1)*7&lt;=$D22,DATE($B$1,1,1)+20*7-1&gt;=$C22),1,""))</f>
        <v/>
      </c>
      <c r="Y22" s="10">
        <f>IF(OR($C22="",$D22=""),"",IF(AND(DATE($B$1,1,1)+(21-1)*7&lt;=$D22,DATE($B$1,1,1)+21*7-1&gt;=$C22),1,""))</f>
        <v/>
      </c>
      <c r="Z22" s="10">
        <f>IF(OR($C22="",$D22=""),"",IF(AND(DATE($B$1,1,1)+(22-1)*7&lt;=$D22,DATE($B$1,1,1)+22*7-1&gt;=$C22),1,""))</f>
        <v/>
      </c>
      <c r="AA22" s="10">
        <f>IF(OR($C22="",$D22=""),"",IF(AND(DATE($B$1,1,1)+(23-1)*7&lt;=$D22,DATE($B$1,1,1)+23*7-1&gt;=$C22),1,""))</f>
        <v/>
      </c>
      <c r="AB22" s="10">
        <f>IF(OR($C22="",$D22=""),"",IF(AND(DATE($B$1,1,1)+(24-1)*7&lt;=$D22,DATE($B$1,1,1)+24*7-1&gt;=$C22),1,""))</f>
        <v/>
      </c>
      <c r="AC22" s="10">
        <f>IF(OR($C22="",$D22=""),"",IF(AND(DATE($B$1,1,1)+(25-1)*7&lt;=$D22,DATE($B$1,1,1)+25*7-1&gt;=$C22),1,""))</f>
        <v/>
      </c>
      <c r="AD22" s="10">
        <f>IF(OR($C22="",$D22=""),"",IF(AND(DATE($B$1,1,1)+(26-1)*7&lt;=$D22,DATE($B$1,1,1)+26*7-1&gt;=$C22),1,""))</f>
        <v/>
      </c>
      <c r="AE22" s="10">
        <f>IF(OR($C22="",$D22=""),"",IF(AND(DATE($B$1,1,1)+(27-1)*7&lt;=$D22,DATE($B$1,1,1)+27*7-1&gt;=$C22),1,""))</f>
        <v/>
      </c>
      <c r="AF22" s="10">
        <f>IF(OR($C22="",$D22=""),"",IF(AND(DATE($B$1,1,1)+(28-1)*7&lt;=$D22,DATE($B$1,1,1)+28*7-1&gt;=$C22),1,""))</f>
        <v/>
      </c>
      <c r="AG22" s="10">
        <f>IF(OR($C22="",$D22=""),"",IF(AND(DATE($B$1,1,1)+(29-1)*7&lt;=$D22,DATE($B$1,1,1)+29*7-1&gt;=$C22),1,""))</f>
        <v/>
      </c>
      <c r="AH22" s="10">
        <f>IF(OR($C22="",$D22=""),"",IF(AND(DATE($B$1,1,1)+(30-1)*7&lt;=$D22,DATE($B$1,1,1)+30*7-1&gt;=$C22),1,""))</f>
        <v/>
      </c>
      <c r="AI22" s="10">
        <f>IF(OR($C22="",$D22=""),"",IF(AND(DATE($B$1,1,1)+(31-1)*7&lt;=$D22,DATE($B$1,1,1)+31*7-1&gt;=$C22),1,""))</f>
        <v/>
      </c>
      <c r="AJ22" s="10">
        <f>IF(OR($C22="",$D22=""),"",IF(AND(DATE($B$1,1,1)+(32-1)*7&lt;=$D22,DATE($B$1,1,1)+32*7-1&gt;=$C22),1,""))</f>
        <v/>
      </c>
      <c r="AK22" s="10">
        <f>IF(OR($C22="",$D22=""),"",IF(AND(DATE($B$1,1,1)+(33-1)*7&lt;=$D22,DATE($B$1,1,1)+33*7-1&gt;=$C22),1,""))</f>
        <v/>
      </c>
      <c r="AL22" s="10">
        <f>IF(OR($C22="",$D22=""),"",IF(AND(DATE($B$1,1,1)+(34-1)*7&lt;=$D22,DATE($B$1,1,1)+34*7-1&gt;=$C22),1,""))</f>
        <v/>
      </c>
      <c r="AM22" s="10">
        <f>IF(OR($C22="",$D22=""),"",IF(AND(DATE($B$1,1,1)+(35-1)*7&lt;=$D22,DATE($B$1,1,1)+35*7-1&gt;=$C22),1,""))</f>
        <v/>
      </c>
      <c r="AN22" s="10">
        <f>IF(OR($C22="",$D22=""),"",IF(AND(DATE($B$1,1,1)+(36-1)*7&lt;=$D22,DATE($B$1,1,1)+36*7-1&gt;=$C22),1,""))</f>
        <v/>
      </c>
      <c r="AO22" s="10">
        <f>IF(OR($C22="",$D22=""),"",IF(AND(DATE($B$1,1,1)+(37-1)*7&lt;=$D22,DATE($B$1,1,1)+37*7-1&gt;=$C22),1,""))</f>
        <v/>
      </c>
      <c r="AP22" s="10">
        <f>IF(OR($C22="",$D22=""),"",IF(AND(DATE($B$1,1,1)+(38-1)*7&lt;=$D22,DATE($B$1,1,1)+38*7-1&gt;=$C22),1,""))</f>
        <v/>
      </c>
      <c r="AQ22" s="10">
        <f>IF(OR($C22="",$D22=""),"",IF(AND(DATE($B$1,1,1)+(39-1)*7&lt;=$D22,DATE($B$1,1,1)+39*7-1&gt;=$C22),1,""))</f>
        <v/>
      </c>
      <c r="AR22" s="10">
        <f>IF(OR($C22="",$D22=""),"",IF(AND(DATE($B$1,1,1)+(40-1)*7&lt;=$D22,DATE($B$1,1,1)+40*7-1&gt;=$C22),1,""))</f>
        <v/>
      </c>
      <c r="AS22" s="10">
        <f>IF(OR($C22="",$D22=""),"",IF(AND(DATE($B$1,1,1)+(41-1)*7&lt;=$D22,DATE($B$1,1,1)+41*7-1&gt;=$C22),1,""))</f>
        <v/>
      </c>
      <c r="AT22" s="10">
        <f>IF(OR($C22="",$D22=""),"",IF(AND(DATE($B$1,1,1)+(42-1)*7&lt;=$D22,DATE($B$1,1,1)+42*7-1&gt;=$C22),1,""))</f>
        <v/>
      </c>
      <c r="AU22" s="10">
        <f>IF(OR($C22="",$D22=""),"",IF(AND(DATE($B$1,1,1)+(43-1)*7&lt;=$D22,DATE($B$1,1,1)+43*7-1&gt;=$C22),1,""))</f>
        <v/>
      </c>
      <c r="AV22" s="10">
        <f>IF(OR($C22="",$D22=""),"",IF(AND(DATE($B$1,1,1)+(44-1)*7&lt;=$D22,DATE($B$1,1,1)+44*7-1&gt;=$C22),1,""))</f>
        <v/>
      </c>
      <c r="AW22" s="10">
        <f>IF(OR($C22="",$D22=""),"",IF(AND(DATE($B$1,1,1)+(45-1)*7&lt;=$D22,DATE($B$1,1,1)+45*7-1&gt;=$C22),1,""))</f>
        <v/>
      </c>
      <c r="AX22" s="10">
        <f>IF(OR($C22="",$D22=""),"",IF(AND(DATE($B$1,1,1)+(46-1)*7&lt;=$D22,DATE($B$1,1,1)+46*7-1&gt;=$C22),1,""))</f>
        <v/>
      </c>
      <c r="AY22" s="10">
        <f>IF(OR($C22="",$D22=""),"",IF(AND(DATE($B$1,1,1)+(47-1)*7&lt;=$D22,DATE($B$1,1,1)+47*7-1&gt;=$C22),1,""))</f>
        <v/>
      </c>
      <c r="AZ22" s="10">
        <f>IF(OR($C22="",$D22=""),"",IF(AND(DATE($B$1,1,1)+(48-1)*7&lt;=$D22,DATE($B$1,1,1)+48*7-1&gt;=$C22),1,""))</f>
        <v/>
      </c>
      <c r="BA22" s="10">
        <f>IF(OR($C22="",$D22=""),"",IF(AND(DATE($B$1,1,1)+(49-1)*7&lt;=$D22,DATE($B$1,1,1)+49*7-1&gt;=$C22),1,""))</f>
        <v/>
      </c>
      <c r="BB22" s="10">
        <f>IF(OR($C22="",$D22=""),"",IF(AND(DATE($B$1,1,1)+(50-1)*7&lt;=$D22,DATE($B$1,1,1)+50*7-1&gt;=$C22),1,""))</f>
        <v/>
      </c>
      <c r="BC22" s="10">
        <f>IF(OR($C22="",$D22=""),"",IF(AND(DATE($B$1,1,1)+(51-1)*7&lt;=$D22,DATE($B$1,1,1)+51*7-1&gt;=$C22),1,""))</f>
        <v/>
      </c>
      <c r="BD22" s="10">
        <f>IF(OR($C22="",$D22=""),"",IF(AND(DATE($B$1,1,1)+(52-1)*7&lt;=$D22,DATE($B$1,1,1)+52*7-1&gt;=$C22),1,""))</f>
        <v/>
      </c>
      <c r="BE22" s="10">
        <f>IF(OR($C22="",$D22=""),"",IF(AND(DATE($B$1,1,1)+(53-1)*7&lt;=$D22,DATE($B$1,1,1)+53*7-1&gt;=$C22),1,""))</f>
        <v/>
      </c>
      <c r="BF22" s="10">
        <f>IF(OR($C22="",$D22=""),"",IF(AND(DATE($B$1,1,1)+(54-1)*7&lt;=$D22,DATE($B$1,1,1)+54*7-1&gt;=$C22),1,""))</f>
        <v/>
      </c>
    </row>
    <row r="23">
      <c r="A23" s="6" t="n"/>
      <c r="B23" s="6" t="n"/>
      <c r="C23" s="11" t="n"/>
      <c r="D23" s="11" t="n"/>
      <c r="E23" s="10">
        <f>IF(OR($C23="",$D23=""),"",IF(AND(DATE($B$1,1,1)+(1-1)*7&lt;=$D23,DATE($B$1,1,1)+1*7-1&gt;=$C23),1,""))</f>
        <v/>
      </c>
      <c r="F23" s="10">
        <f>IF(OR($C23="",$D23=""),"",IF(AND(DATE($B$1,1,1)+(2-1)*7&lt;=$D23,DATE($B$1,1,1)+2*7-1&gt;=$C23),1,""))</f>
        <v/>
      </c>
      <c r="G23" s="10">
        <f>IF(OR($C23="",$D23=""),"",IF(AND(DATE($B$1,1,1)+(3-1)*7&lt;=$D23,DATE($B$1,1,1)+3*7-1&gt;=$C23),1,""))</f>
        <v/>
      </c>
      <c r="H23" s="10">
        <f>IF(OR($C23="",$D23=""),"",IF(AND(DATE($B$1,1,1)+(4-1)*7&lt;=$D23,DATE($B$1,1,1)+4*7-1&gt;=$C23),1,""))</f>
        <v/>
      </c>
      <c r="I23" s="10">
        <f>IF(OR($C23="",$D23=""),"",IF(AND(DATE($B$1,1,1)+(5-1)*7&lt;=$D23,DATE($B$1,1,1)+5*7-1&gt;=$C23),1,""))</f>
        <v/>
      </c>
      <c r="J23" s="10">
        <f>IF(OR($C23="",$D23=""),"",IF(AND(DATE($B$1,1,1)+(6-1)*7&lt;=$D23,DATE($B$1,1,1)+6*7-1&gt;=$C23),1,""))</f>
        <v/>
      </c>
      <c r="K23" s="10">
        <f>IF(OR($C23="",$D23=""),"",IF(AND(DATE($B$1,1,1)+(7-1)*7&lt;=$D23,DATE($B$1,1,1)+7*7-1&gt;=$C23),1,""))</f>
        <v/>
      </c>
      <c r="L23" s="10">
        <f>IF(OR($C23="",$D23=""),"",IF(AND(DATE($B$1,1,1)+(8-1)*7&lt;=$D23,DATE($B$1,1,1)+8*7-1&gt;=$C23),1,""))</f>
        <v/>
      </c>
      <c r="M23" s="10">
        <f>IF(OR($C23="",$D23=""),"",IF(AND(DATE($B$1,1,1)+(9-1)*7&lt;=$D23,DATE($B$1,1,1)+9*7-1&gt;=$C23),1,""))</f>
        <v/>
      </c>
      <c r="N23" s="10">
        <f>IF(OR($C23="",$D23=""),"",IF(AND(DATE($B$1,1,1)+(10-1)*7&lt;=$D23,DATE($B$1,1,1)+10*7-1&gt;=$C23),1,""))</f>
        <v/>
      </c>
      <c r="O23" s="10">
        <f>IF(OR($C23="",$D23=""),"",IF(AND(DATE($B$1,1,1)+(11-1)*7&lt;=$D23,DATE($B$1,1,1)+11*7-1&gt;=$C23),1,""))</f>
        <v/>
      </c>
      <c r="P23" s="10">
        <f>IF(OR($C23="",$D23=""),"",IF(AND(DATE($B$1,1,1)+(12-1)*7&lt;=$D23,DATE($B$1,1,1)+12*7-1&gt;=$C23),1,""))</f>
        <v/>
      </c>
      <c r="Q23" s="10">
        <f>IF(OR($C23="",$D23=""),"",IF(AND(DATE($B$1,1,1)+(13-1)*7&lt;=$D23,DATE($B$1,1,1)+13*7-1&gt;=$C23),1,""))</f>
        <v/>
      </c>
      <c r="R23" s="10">
        <f>IF(OR($C23="",$D23=""),"",IF(AND(DATE($B$1,1,1)+(14-1)*7&lt;=$D23,DATE($B$1,1,1)+14*7-1&gt;=$C23),1,""))</f>
        <v/>
      </c>
      <c r="S23" s="10">
        <f>IF(OR($C23="",$D23=""),"",IF(AND(DATE($B$1,1,1)+(15-1)*7&lt;=$D23,DATE($B$1,1,1)+15*7-1&gt;=$C23),1,""))</f>
        <v/>
      </c>
      <c r="T23" s="10">
        <f>IF(OR($C23="",$D23=""),"",IF(AND(DATE($B$1,1,1)+(16-1)*7&lt;=$D23,DATE($B$1,1,1)+16*7-1&gt;=$C23),1,""))</f>
        <v/>
      </c>
      <c r="U23" s="10">
        <f>IF(OR($C23="",$D23=""),"",IF(AND(DATE($B$1,1,1)+(17-1)*7&lt;=$D23,DATE($B$1,1,1)+17*7-1&gt;=$C23),1,""))</f>
        <v/>
      </c>
      <c r="V23" s="10">
        <f>IF(OR($C23="",$D23=""),"",IF(AND(DATE($B$1,1,1)+(18-1)*7&lt;=$D23,DATE($B$1,1,1)+18*7-1&gt;=$C23),1,""))</f>
        <v/>
      </c>
      <c r="W23" s="10">
        <f>IF(OR($C23="",$D23=""),"",IF(AND(DATE($B$1,1,1)+(19-1)*7&lt;=$D23,DATE($B$1,1,1)+19*7-1&gt;=$C23),1,""))</f>
        <v/>
      </c>
      <c r="X23" s="10">
        <f>IF(OR($C23="",$D23=""),"",IF(AND(DATE($B$1,1,1)+(20-1)*7&lt;=$D23,DATE($B$1,1,1)+20*7-1&gt;=$C23),1,""))</f>
        <v/>
      </c>
      <c r="Y23" s="10">
        <f>IF(OR($C23="",$D23=""),"",IF(AND(DATE($B$1,1,1)+(21-1)*7&lt;=$D23,DATE($B$1,1,1)+21*7-1&gt;=$C23),1,""))</f>
        <v/>
      </c>
      <c r="Z23" s="10">
        <f>IF(OR($C23="",$D23=""),"",IF(AND(DATE($B$1,1,1)+(22-1)*7&lt;=$D23,DATE($B$1,1,1)+22*7-1&gt;=$C23),1,""))</f>
        <v/>
      </c>
      <c r="AA23" s="10">
        <f>IF(OR($C23="",$D23=""),"",IF(AND(DATE($B$1,1,1)+(23-1)*7&lt;=$D23,DATE($B$1,1,1)+23*7-1&gt;=$C23),1,""))</f>
        <v/>
      </c>
      <c r="AB23" s="10">
        <f>IF(OR($C23="",$D23=""),"",IF(AND(DATE($B$1,1,1)+(24-1)*7&lt;=$D23,DATE($B$1,1,1)+24*7-1&gt;=$C23),1,""))</f>
        <v/>
      </c>
      <c r="AC23" s="10">
        <f>IF(OR($C23="",$D23=""),"",IF(AND(DATE($B$1,1,1)+(25-1)*7&lt;=$D23,DATE($B$1,1,1)+25*7-1&gt;=$C23),1,""))</f>
        <v/>
      </c>
      <c r="AD23" s="10">
        <f>IF(OR($C23="",$D23=""),"",IF(AND(DATE($B$1,1,1)+(26-1)*7&lt;=$D23,DATE($B$1,1,1)+26*7-1&gt;=$C23),1,""))</f>
        <v/>
      </c>
      <c r="AE23" s="10">
        <f>IF(OR($C23="",$D23=""),"",IF(AND(DATE($B$1,1,1)+(27-1)*7&lt;=$D23,DATE($B$1,1,1)+27*7-1&gt;=$C23),1,""))</f>
        <v/>
      </c>
      <c r="AF23" s="10">
        <f>IF(OR($C23="",$D23=""),"",IF(AND(DATE($B$1,1,1)+(28-1)*7&lt;=$D23,DATE($B$1,1,1)+28*7-1&gt;=$C23),1,""))</f>
        <v/>
      </c>
      <c r="AG23" s="10">
        <f>IF(OR($C23="",$D23=""),"",IF(AND(DATE($B$1,1,1)+(29-1)*7&lt;=$D23,DATE($B$1,1,1)+29*7-1&gt;=$C23),1,""))</f>
        <v/>
      </c>
      <c r="AH23" s="10">
        <f>IF(OR($C23="",$D23=""),"",IF(AND(DATE($B$1,1,1)+(30-1)*7&lt;=$D23,DATE($B$1,1,1)+30*7-1&gt;=$C23),1,""))</f>
        <v/>
      </c>
      <c r="AI23" s="10">
        <f>IF(OR($C23="",$D23=""),"",IF(AND(DATE($B$1,1,1)+(31-1)*7&lt;=$D23,DATE($B$1,1,1)+31*7-1&gt;=$C23),1,""))</f>
        <v/>
      </c>
      <c r="AJ23" s="10">
        <f>IF(OR($C23="",$D23=""),"",IF(AND(DATE($B$1,1,1)+(32-1)*7&lt;=$D23,DATE($B$1,1,1)+32*7-1&gt;=$C23),1,""))</f>
        <v/>
      </c>
      <c r="AK23" s="10">
        <f>IF(OR($C23="",$D23=""),"",IF(AND(DATE($B$1,1,1)+(33-1)*7&lt;=$D23,DATE($B$1,1,1)+33*7-1&gt;=$C23),1,""))</f>
        <v/>
      </c>
      <c r="AL23" s="10">
        <f>IF(OR($C23="",$D23=""),"",IF(AND(DATE($B$1,1,1)+(34-1)*7&lt;=$D23,DATE($B$1,1,1)+34*7-1&gt;=$C23),1,""))</f>
        <v/>
      </c>
      <c r="AM23" s="10">
        <f>IF(OR($C23="",$D23=""),"",IF(AND(DATE($B$1,1,1)+(35-1)*7&lt;=$D23,DATE($B$1,1,1)+35*7-1&gt;=$C23),1,""))</f>
        <v/>
      </c>
      <c r="AN23" s="10">
        <f>IF(OR($C23="",$D23=""),"",IF(AND(DATE($B$1,1,1)+(36-1)*7&lt;=$D23,DATE($B$1,1,1)+36*7-1&gt;=$C23),1,""))</f>
        <v/>
      </c>
      <c r="AO23" s="10">
        <f>IF(OR($C23="",$D23=""),"",IF(AND(DATE($B$1,1,1)+(37-1)*7&lt;=$D23,DATE($B$1,1,1)+37*7-1&gt;=$C23),1,""))</f>
        <v/>
      </c>
      <c r="AP23" s="10">
        <f>IF(OR($C23="",$D23=""),"",IF(AND(DATE($B$1,1,1)+(38-1)*7&lt;=$D23,DATE($B$1,1,1)+38*7-1&gt;=$C23),1,""))</f>
        <v/>
      </c>
      <c r="AQ23" s="10">
        <f>IF(OR($C23="",$D23=""),"",IF(AND(DATE($B$1,1,1)+(39-1)*7&lt;=$D23,DATE($B$1,1,1)+39*7-1&gt;=$C23),1,""))</f>
        <v/>
      </c>
      <c r="AR23" s="10">
        <f>IF(OR($C23="",$D23=""),"",IF(AND(DATE($B$1,1,1)+(40-1)*7&lt;=$D23,DATE($B$1,1,1)+40*7-1&gt;=$C23),1,""))</f>
        <v/>
      </c>
      <c r="AS23" s="10">
        <f>IF(OR($C23="",$D23=""),"",IF(AND(DATE($B$1,1,1)+(41-1)*7&lt;=$D23,DATE($B$1,1,1)+41*7-1&gt;=$C23),1,""))</f>
        <v/>
      </c>
      <c r="AT23" s="10">
        <f>IF(OR($C23="",$D23=""),"",IF(AND(DATE($B$1,1,1)+(42-1)*7&lt;=$D23,DATE($B$1,1,1)+42*7-1&gt;=$C23),1,""))</f>
        <v/>
      </c>
      <c r="AU23" s="10">
        <f>IF(OR($C23="",$D23=""),"",IF(AND(DATE($B$1,1,1)+(43-1)*7&lt;=$D23,DATE($B$1,1,1)+43*7-1&gt;=$C23),1,""))</f>
        <v/>
      </c>
      <c r="AV23" s="10">
        <f>IF(OR($C23="",$D23=""),"",IF(AND(DATE($B$1,1,1)+(44-1)*7&lt;=$D23,DATE($B$1,1,1)+44*7-1&gt;=$C23),1,""))</f>
        <v/>
      </c>
      <c r="AW23" s="10">
        <f>IF(OR($C23="",$D23=""),"",IF(AND(DATE($B$1,1,1)+(45-1)*7&lt;=$D23,DATE($B$1,1,1)+45*7-1&gt;=$C23),1,""))</f>
        <v/>
      </c>
      <c r="AX23" s="10">
        <f>IF(OR($C23="",$D23=""),"",IF(AND(DATE($B$1,1,1)+(46-1)*7&lt;=$D23,DATE($B$1,1,1)+46*7-1&gt;=$C23),1,""))</f>
        <v/>
      </c>
      <c r="AY23" s="10">
        <f>IF(OR($C23="",$D23=""),"",IF(AND(DATE($B$1,1,1)+(47-1)*7&lt;=$D23,DATE($B$1,1,1)+47*7-1&gt;=$C23),1,""))</f>
        <v/>
      </c>
      <c r="AZ23" s="10">
        <f>IF(OR($C23="",$D23=""),"",IF(AND(DATE($B$1,1,1)+(48-1)*7&lt;=$D23,DATE($B$1,1,1)+48*7-1&gt;=$C23),1,""))</f>
        <v/>
      </c>
      <c r="BA23" s="10">
        <f>IF(OR($C23="",$D23=""),"",IF(AND(DATE($B$1,1,1)+(49-1)*7&lt;=$D23,DATE($B$1,1,1)+49*7-1&gt;=$C23),1,""))</f>
        <v/>
      </c>
      <c r="BB23" s="10">
        <f>IF(OR($C23="",$D23=""),"",IF(AND(DATE($B$1,1,1)+(50-1)*7&lt;=$D23,DATE($B$1,1,1)+50*7-1&gt;=$C23),1,""))</f>
        <v/>
      </c>
      <c r="BC23" s="10">
        <f>IF(OR($C23="",$D23=""),"",IF(AND(DATE($B$1,1,1)+(51-1)*7&lt;=$D23,DATE($B$1,1,1)+51*7-1&gt;=$C23),1,""))</f>
        <v/>
      </c>
      <c r="BD23" s="10">
        <f>IF(OR($C23="",$D23=""),"",IF(AND(DATE($B$1,1,1)+(52-1)*7&lt;=$D23,DATE($B$1,1,1)+52*7-1&gt;=$C23),1,""))</f>
        <v/>
      </c>
      <c r="BE23" s="10">
        <f>IF(OR($C23="",$D23=""),"",IF(AND(DATE($B$1,1,1)+(53-1)*7&lt;=$D23,DATE($B$1,1,1)+53*7-1&gt;=$C23),1,""))</f>
        <v/>
      </c>
      <c r="BF23" s="10">
        <f>IF(OR($C23="",$D23=""),"",IF(AND(DATE($B$1,1,1)+(54-1)*7&lt;=$D23,DATE($B$1,1,1)+54*7-1&gt;=$C23),1,""))</f>
        <v/>
      </c>
    </row>
    <row r="24">
      <c r="A24" s="6" t="n"/>
      <c r="B24" s="6" t="n"/>
      <c r="C24" s="11" t="n"/>
      <c r="D24" s="11" t="n"/>
      <c r="E24" s="10">
        <f>IF(OR($C24="",$D24=""),"",IF(AND(DATE($B$1,1,1)+(1-1)*7&lt;=$D24,DATE($B$1,1,1)+1*7-1&gt;=$C24),1,""))</f>
        <v/>
      </c>
      <c r="F24" s="10">
        <f>IF(OR($C24="",$D24=""),"",IF(AND(DATE($B$1,1,1)+(2-1)*7&lt;=$D24,DATE($B$1,1,1)+2*7-1&gt;=$C24),1,""))</f>
        <v/>
      </c>
      <c r="G24" s="10">
        <f>IF(OR($C24="",$D24=""),"",IF(AND(DATE($B$1,1,1)+(3-1)*7&lt;=$D24,DATE($B$1,1,1)+3*7-1&gt;=$C24),1,""))</f>
        <v/>
      </c>
      <c r="H24" s="10">
        <f>IF(OR($C24="",$D24=""),"",IF(AND(DATE($B$1,1,1)+(4-1)*7&lt;=$D24,DATE($B$1,1,1)+4*7-1&gt;=$C24),1,""))</f>
        <v/>
      </c>
      <c r="I24" s="10">
        <f>IF(OR($C24="",$D24=""),"",IF(AND(DATE($B$1,1,1)+(5-1)*7&lt;=$D24,DATE($B$1,1,1)+5*7-1&gt;=$C24),1,""))</f>
        <v/>
      </c>
      <c r="J24" s="10">
        <f>IF(OR($C24="",$D24=""),"",IF(AND(DATE($B$1,1,1)+(6-1)*7&lt;=$D24,DATE($B$1,1,1)+6*7-1&gt;=$C24),1,""))</f>
        <v/>
      </c>
      <c r="K24" s="10">
        <f>IF(OR($C24="",$D24=""),"",IF(AND(DATE($B$1,1,1)+(7-1)*7&lt;=$D24,DATE($B$1,1,1)+7*7-1&gt;=$C24),1,""))</f>
        <v/>
      </c>
      <c r="L24" s="10">
        <f>IF(OR($C24="",$D24=""),"",IF(AND(DATE($B$1,1,1)+(8-1)*7&lt;=$D24,DATE($B$1,1,1)+8*7-1&gt;=$C24),1,""))</f>
        <v/>
      </c>
      <c r="M24" s="10">
        <f>IF(OR($C24="",$D24=""),"",IF(AND(DATE($B$1,1,1)+(9-1)*7&lt;=$D24,DATE($B$1,1,1)+9*7-1&gt;=$C24),1,""))</f>
        <v/>
      </c>
      <c r="N24" s="10">
        <f>IF(OR($C24="",$D24=""),"",IF(AND(DATE($B$1,1,1)+(10-1)*7&lt;=$D24,DATE($B$1,1,1)+10*7-1&gt;=$C24),1,""))</f>
        <v/>
      </c>
      <c r="O24" s="10">
        <f>IF(OR($C24="",$D24=""),"",IF(AND(DATE($B$1,1,1)+(11-1)*7&lt;=$D24,DATE($B$1,1,1)+11*7-1&gt;=$C24),1,""))</f>
        <v/>
      </c>
      <c r="P24" s="10">
        <f>IF(OR($C24="",$D24=""),"",IF(AND(DATE($B$1,1,1)+(12-1)*7&lt;=$D24,DATE($B$1,1,1)+12*7-1&gt;=$C24),1,""))</f>
        <v/>
      </c>
      <c r="Q24" s="10">
        <f>IF(OR($C24="",$D24=""),"",IF(AND(DATE($B$1,1,1)+(13-1)*7&lt;=$D24,DATE($B$1,1,1)+13*7-1&gt;=$C24),1,""))</f>
        <v/>
      </c>
      <c r="R24" s="10">
        <f>IF(OR($C24="",$D24=""),"",IF(AND(DATE($B$1,1,1)+(14-1)*7&lt;=$D24,DATE($B$1,1,1)+14*7-1&gt;=$C24),1,""))</f>
        <v/>
      </c>
      <c r="S24" s="10">
        <f>IF(OR($C24="",$D24=""),"",IF(AND(DATE($B$1,1,1)+(15-1)*7&lt;=$D24,DATE($B$1,1,1)+15*7-1&gt;=$C24),1,""))</f>
        <v/>
      </c>
      <c r="T24" s="10">
        <f>IF(OR($C24="",$D24=""),"",IF(AND(DATE($B$1,1,1)+(16-1)*7&lt;=$D24,DATE($B$1,1,1)+16*7-1&gt;=$C24),1,""))</f>
        <v/>
      </c>
      <c r="U24" s="10">
        <f>IF(OR($C24="",$D24=""),"",IF(AND(DATE($B$1,1,1)+(17-1)*7&lt;=$D24,DATE($B$1,1,1)+17*7-1&gt;=$C24),1,""))</f>
        <v/>
      </c>
      <c r="V24" s="10">
        <f>IF(OR($C24="",$D24=""),"",IF(AND(DATE($B$1,1,1)+(18-1)*7&lt;=$D24,DATE($B$1,1,1)+18*7-1&gt;=$C24),1,""))</f>
        <v/>
      </c>
      <c r="W24" s="10">
        <f>IF(OR($C24="",$D24=""),"",IF(AND(DATE($B$1,1,1)+(19-1)*7&lt;=$D24,DATE($B$1,1,1)+19*7-1&gt;=$C24),1,""))</f>
        <v/>
      </c>
      <c r="X24" s="10">
        <f>IF(OR($C24="",$D24=""),"",IF(AND(DATE($B$1,1,1)+(20-1)*7&lt;=$D24,DATE($B$1,1,1)+20*7-1&gt;=$C24),1,""))</f>
        <v/>
      </c>
      <c r="Y24" s="10">
        <f>IF(OR($C24="",$D24=""),"",IF(AND(DATE($B$1,1,1)+(21-1)*7&lt;=$D24,DATE($B$1,1,1)+21*7-1&gt;=$C24),1,""))</f>
        <v/>
      </c>
      <c r="Z24" s="10">
        <f>IF(OR($C24="",$D24=""),"",IF(AND(DATE($B$1,1,1)+(22-1)*7&lt;=$D24,DATE($B$1,1,1)+22*7-1&gt;=$C24),1,""))</f>
        <v/>
      </c>
      <c r="AA24" s="10">
        <f>IF(OR($C24="",$D24=""),"",IF(AND(DATE($B$1,1,1)+(23-1)*7&lt;=$D24,DATE($B$1,1,1)+23*7-1&gt;=$C24),1,""))</f>
        <v/>
      </c>
      <c r="AB24" s="10">
        <f>IF(OR($C24="",$D24=""),"",IF(AND(DATE($B$1,1,1)+(24-1)*7&lt;=$D24,DATE($B$1,1,1)+24*7-1&gt;=$C24),1,""))</f>
        <v/>
      </c>
      <c r="AC24" s="10">
        <f>IF(OR($C24="",$D24=""),"",IF(AND(DATE($B$1,1,1)+(25-1)*7&lt;=$D24,DATE($B$1,1,1)+25*7-1&gt;=$C24),1,""))</f>
        <v/>
      </c>
      <c r="AD24" s="10">
        <f>IF(OR($C24="",$D24=""),"",IF(AND(DATE($B$1,1,1)+(26-1)*7&lt;=$D24,DATE($B$1,1,1)+26*7-1&gt;=$C24),1,""))</f>
        <v/>
      </c>
      <c r="AE24" s="10">
        <f>IF(OR($C24="",$D24=""),"",IF(AND(DATE($B$1,1,1)+(27-1)*7&lt;=$D24,DATE($B$1,1,1)+27*7-1&gt;=$C24),1,""))</f>
        <v/>
      </c>
      <c r="AF24" s="10">
        <f>IF(OR($C24="",$D24=""),"",IF(AND(DATE($B$1,1,1)+(28-1)*7&lt;=$D24,DATE($B$1,1,1)+28*7-1&gt;=$C24),1,""))</f>
        <v/>
      </c>
      <c r="AG24" s="10">
        <f>IF(OR($C24="",$D24=""),"",IF(AND(DATE($B$1,1,1)+(29-1)*7&lt;=$D24,DATE($B$1,1,1)+29*7-1&gt;=$C24),1,""))</f>
        <v/>
      </c>
      <c r="AH24" s="10">
        <f>IF(OR($C24="",$D24=""),"",IF(AND(DATE($B$1,1,1)+(30-1)*7&lt;=$D24,DATE($B$1,1,1)+30*7-1&gt;=$C24),1,""))</f>
        <v/>
      </c>
      <c r="AI24" s="10">
        <f>IF(OR($C24="",$D24=""),"",IF(AND(DATE($B$1,1,1)+(31-1)*7&lt;=$D24,DATE($B$1,1,1)+31*7-1&gt;=$C24),1,""))</f>
        <v/>
      </c>
      <c r="AJ24" s="10">
        <f>IF(OR($C24="",$D24=""),"",IF(AND(DATE($B$1,1,1)+(32-1)*7&lt;=$D24,DATE($B$1,1,1)+32*7-1&gt;=$C24),1,""))</f>
        <v/>
      </c>
      <c r="AK24" s="10">
        <f>IF(OR($C24="",$D24=""),"",IF(AND(DATE($B$1,1,1)+(33-1)*7&lt;=$D24,DATE($B$1,1,1)+33*7-1&gt;=$C24),1,""))</f>
        <v/>
      </c>
      <c r="AL24" s="10">
        <f>IF(OR($C24="",$D24=""),"",IF(AND(DATE($B$1,1,1)+(34-1)*7&lt;=$D24,DATE($B$1,1,1)+34*7-1&gt;=$C24),1,""))</f>
        <v/>
      </c>
      <c r="AM24" s="10">
        <f>IF(OR($C24="",$D24=""),"",IF(AND(DATE($B$1,1,1)+(35-1)*7&lt;=$D24,DATE($B$1,1,1)+35*7-1&gt;=$C24),1,""))</f>
        <v/>
      </c>
      <c r="AN24" s="10">
        <f>IF(OR($C24="",$D24=""),"",IF(AND(DATE($B$1,1,1)+(36-1)*7&lt;=$D24,DATE($B$1,1,1)+36*7-1&gt;=$C24),1,""))</f>
        <v/>
      </c>
      <c r="AO24" s="10">
        <f>IF(OR($C24="",$D24=""),"",IF(AND(DATE($B$1,1,1)+(37-1)*7&lt;=$D24,DATE($B$1,1,1)+37*7-1&gt;=$C24),1,""))</f>
        <v/>
      </c>
      <c r="AP24" s="10">
        <f>IF(OR($C24="",$D24=""),"",IF(AND(DATE($B$1,1,1)+(38-1)*7&lt;=$D24,DATE($B$1,1,1)+38*7-1&gt;=$C24),1,""))</f>
        <v/>
      </c>
      <c r="AQ24" s="10">
        <f>IF(OR($C24="",$D24=""),"",IF(AND(DATE($B$1,1,1)+(39-1)*7&lt;=$D24,DATE($B$1,1,1)+39*7-1&gt;=$C24),1,""))</f>
        <v/>
      </c>
      <c r="AR24" s="10">
        <f>IF(OR($C24="",$D24=""),"",IF(AND(DATE($B$1,1,1)+(40-1)*7&lt;=$D24,DATE($B$1,1,1)+40*7-1&gt;=$C24),1,""))</f>
        <v/>
      </c>
      <c r="AS24" s="10">
        <f>IF(OR($C24="",$D24=""),"",IF(AND(DATE($B$1,1,1)+(41-1)*7&lt;=$D24,DATE($B$1,1,1)+41*7-1&gt;=$C24),1,""))</f>
        <v/>
      </c>
      <c r="AT24" s="10">
        <f>IF(OR($C24="",$D24=""),"",IF(AND(DATE($B$1,1,1)+(42-1)*7&lt;=$D24,DATE($B$1,1,1)+42*7-1&gt;=$C24),1,""))</f>
        <v/>
      </c>
      <c r="AU24" s="10">
        <f>IF(OR($C24="",$D24=""),"",IF(AND(DATE($B$1,1,1)+(43-1)*7&lt;=$D24,DATE($B$1,1,1)+43*7-1&gt;=$C24),1,""))</f>
        <v/>
      </c>
      <c r="AV24" s="10">
        <f>IF(OR($C24="",$D24=""),"",IF(AND(DATE($B$1,1,1)+(44-1)*7&lt;=$D24,DATE($B$1,1,1)+44*7-1&gt;=$C24),1,""))</f>
        <v/>
      </c>
      <c r="AW24" s="10">
        <f>IF(OR($C24="",$D24=""),"",IF(AND(DATE($B$1,1,1)+(45-1)*7&lt;=$D24,DATE($B$1,1,1)+45*7-1&gt;=$C24),1,""))</f>
        <v/>
      </c>
      <c r="AX24" s="10">
        <f>IF(OR($C24="",$D24=""),"",IF(AND(DATE($B$1,1,1)+(46-1)*7&lt;=$D24,DATE($B$1,1,1)+46*7-1&gt;=$C24),1,""))</f>
        <v/>
      </c>
      <c r="AY24" s="10">
        <f>IF(OR($C24="",$D24=""),"",IF(AND(DATE($B$1,1,1)+(47-1)*7&lt;=$D24,DATE($B$1,1,1)+47*7-1&gt;=$C24),1,""))</f>
        <v/>
      </c>
      <c r="AZ24" s="10">
        <f>IF(OR($C24="",$D24=""),"",IF(AND(DATE($B$1,1,1)+(48-1)*7&lt;=$D24,DATE($B$1,1,1)+48*7-1&gt;=$C24),1,""))</f>
        <v/>
      </c>
      <c r="BA24" s="10">
        <f>IF(OR($C24="",$D24=""),"",IF(AND(DATE($B$1,1,1)+(49-1)*7&lt;=$D24,DATE($B$1,1,1)+49*7-1&gt;=$C24),1,""))</f>
        <v/>
      </c>
      <c r="BB24" s="10">
        <f>IF(OR($C24="",$D24=""),"",IF(AND(DATE($B$1,1,1)+(50-1)*7&lt;=$D24,DATE($B$1,1,1)+50*7-1&gt;=$C24),1,""))</f>
        <v/>
      </c>
      <c r="BC24" s="10">
        <f>IF(OR($C24="",$D24=""),"",IF(AND(DATE($B$1,1,1)+(51-1)*7&lt;=$D24,DATE($B$1,1,1)+51*7-1&gt;=$C24),1,""))</f>
        <v/>
      </c>
      <c r="BD24" s="10">
        <f>IF(OR($C24="",$D24=""),"",IF(AND(DATE($B$1,1,1)+(52-1)*7&lt;=$D24,DATE($B$1,1,1)+52*7-1&gt;=$C24),1,""))</f>
        <v/>
      </c>
      <c r="BE24" s="10">
        <f>IF(OR($C24="",$D24=""),"",IF(AND(DATE($B$1,1,1)+(53-1)*7&lt;=$D24,DATE($B$1,1,1)+53*7-1&gt;=$C24),1,""))</f>
        <v/>
      </c>
      <c r="BF24" s="10">
        <f>IF(OR($C24="",$D24=""),"",IF(AND(DATE($B$1,1,1)+(54-1)*7&lt;=$D24,DATE($B$1,1,1)+54*7-1&gt;=$C24),1,""))</f>
        <v/>
      </c>
    </row>
    <row r="25">
      <c r="A25" s="6" t="n"/>
      <c r="B25" s="6" t="n"/>
      <c r="C25" s="11" t="n"/>
      <c r="D25" s="11" t="n"/>
      <c r="E25" s="10">
        <f>IF(OR($C25="",$D25=""),"",IF(AND(DATE($B$1,1,1)+(1-1)*7&lt;=$D25,DATE($B$1,1,1)+1*7-1&gt;=$C25),1,""))</f>
        <v/>
      </c>
      <c r="F25" s="10">
        <f>IF(OR($C25="",$D25=""),"",IF(AND(DATE($B$1,1,1)+(2-1)*7&lt;=$D25,DATE($B$1,1,1)+2*7-1&gt;=$C25),1,""))</f>
        <v/>
      </c>
      <c r="G25" s="10">
        <f>IF(OR($C25="",$D25=""),"",IF(AND(DATE($B$1,1,1)+(3-1)*7&lt;=$D25,DATE($B$1,1,1)+3*7-1&gt;=$C25),1,""))</f>
        <v/>
      </c>
      <c r="H25" s="10">
        <f>IF(OR($C25="",$D25=""),"",IF(AND(DATE($B$1,1,1)+(4-1)*7&lt;=$D25,DATE($B$1,1,1)+4*7-1&gt;=$C25),1,""))</f>
        <v/>
      </c>
      <c r="I25" s="10">
        <f>IF(OR($C25="",$D25=""),"",IF(AND(DATE($B$1,1,1)+(5-1)*7&lt;=$D25,DATE($B$1,1,1)+5*7-1&gt;=$C25),1,""))</f>
        <v/>
      </c>
      <c r="J25" s="10">
        <f>IF(OR($C25="",$D25=""),"",IF(AND(DATE($B$1,1,1)+(6-1)*7&lt;=$D25,DATE($B$1,1,1)+6*7-1&gt;=$C25),1,""))</f>
        <v/>
      </c>
      <c r="K25" s="10">
        <f>IF(OR($C25="",$D25=""),"",IF(AND(DATE($B$1,1,1)+(7-1)*7&lt;=$D25,DATE($B$1,1,1)+7*7-1&gt;=$C25),1,""))</f>
        <v/>
      </c>
      <c r="L25" s="10">
        <f>IF(OR($C25="",$D25=""),"",IF(AND(DATE($B$1,1,1)+(8-1)*7&lt;=$D25,DATE($B$1,1,1)+8*7-1&gt;=$C25),1,""))</f>
        <v/>
      </c>
      <c r="M25" s="10">
        <f>IF(OR($C25="",$D25=""),"",IF(AND(DATE($B$1,1,1)+(9-1)*7&lt;=$D25,DATE($B$1,1,1)+9*7-1&gt;=$C25),1,""))</f>
        <v/>
      </c>
      <c r="N25" s="10">
        <f>IF(OR($C25="",$D25=""),"",IF(AND(DATE($B$1,1,1)+(10-1)*7&lt;=$D25,DATE($B$1,1,1)+10*7-1&gt;=$C25),1,""))</f>
        <v/>
      </c>
      <c r="O25" s="10">
        <f>IF(OR($C25="",$D25=""),"",IF(AND(DATE($B$1,1,1)+(11-1)*7&lt;=$D25,DATE($B$1,1,1)+11*7-1&gt;=$C25),1,""))</f>
        <v/>
      </c>
      <c r="P25" s="10">
        <f>IF(OR($C25="",$D25=""),"",IF(AND(DATE($B$1,1,1)+(12-1)*7&lt;=$D25,DATE($B$1,1,1)+12*7-1&gt;=$C25),1,""))</f>
        <v/>
      </c>
      <c r="Q25" s="10">
        <f>IF(OR($C25="",$D25=""),"",IF(AND(DATE($B$1,1,1)+(13-1)*7&lt;=$D25,DATE($B$1,1,1)+13*7-1&gt;=$C25),1,""))</f>
        <v/>
      </c>
      <c r="R25" s="10">
        <f>IF(OR($C25="",$D25=""),"",IF(AND(DATE($B$1,1,1)+(14-1)*7&lt;=$D25,DATE($B$1,1,1)+14*7-1&gt;=$C25),1,""))</f>
        <v/>
      </c>
      <c r="S25" s="10">
        <f>IF(OR($C25="",$D25=""),"",IF(AND(DATE($B$1,1,1)+(15-1)*7&lt;=$D25,DATE($B$1,1,1)+15*7-1&gt;=$C25),1,""))</f>
        <v/>
      </c>
      <c r="T25" s="10">
        <f>IF(OR($C25="",$D25=""),"",IF(AND(DATE($B$1,1,1)+(16-1)*7&lt;=$D25,DATE($B$1,1,1)+16*7-1&gt;=$C25),1,""))</f>
        <v/>
      </c>
      <c r="U25" s="10">
        <f>IF(OR($C25="",$D25=""),"",IF(AND(DATE($B$1,1,1)+(17-1)*7&lt;=$D25,DATE($B$1,1,1)+17*7-1&gt;=$C25),1,""))</f>
        <v/>
      </c>
      <c r="V25" s="10">
        <f>IF(OR($C25="",$D25=""),"",IF(AND(DATE($B$1,1,1)+(18-1)*7&lt;=$D25,DATE($B$1,1,1)+18*7-1&gt;=$C25),1,""))</f>
        <v/>
      </c>
      <c r="W25" s="10">
        <f>IF(OR($C25="",$D25=""),"",IF(AND(DATE($B$1,1,1)+(19-1)*7&lt;=$D25,DATE($B$1,1,1)+19*7-1&gt;=$C25),1,""))</f>
        <v/>
      </c>
      <c r="X25" s="10">
        <f>IF(OR($C25="",$D25=""),"",IF(AND(DATE($B$1,1,1)+(20-1)*7&lt;=$D25,DATE($B$1,1,1)+20*7-1&gt;=$C25),1,""))</f>
        <v/>
      </c>
      <c r="Y25" s="10">
        <f>IF(OR($C25="",$D25=""),"",IF(AND(DATE($B$1,1,1)+(21-1)*7&lt;=$D25,DATE($B$1,1,1)+21*7-1&gt;=$C25),1,""))</f>
        <v/>
      </c>
      <c r="Z25" s="10">
        <f>IF(OR($C25="",$D25=""),"",IF(AND(DATE($B$1,1,1)+(22-1)*7&lt;=$D25,DATE($B$1,1,1)+22*7-1&gt;=$C25),1,""))</f>
        <v/>
      </c>
      <c r="AA25" s="10">
        <f>IF(OR($C25="",$D25=""),"",IF(AND(DATE($B$1,1,1)+(23-1)*7&lt;=$D25,DATE($B$1,1,1)+23*7-1&gt;=$C25),1,""))</f>
        <v/>
      </c>
      <c r="AB25" s="10">
        <f>IF(OR($C25="",$D25=""),"",IF(AND(DATE($B$1,1,1)+(24-1)*7&lt;=$D25,DATE($B$1,1,1)+24*7-1&gt;=$C25),1,""))</f>
        <v/>
      </c>
      <c r="AC25" s="10">
        <f>IF(OR($C25="",$D25=""),"",IF(AND(DATE($B$1,1,1)+(25-1)*7&lt;=$D25,DATE($B$1,1,1)+25*7-1&gt;=$C25),1,""))</f>
        <v/>
      </c>
      <c r="AD25" s="10">
        <f>IF(OR($C25="",$D25=""),"",IF(AND(DATE($B$1,1,1)+(26-1)*7&lt;=$D25,DATE($B$1,1,1)+26*7-1&gt;=$C25),1,""))</f>
        <v/>
      </c>
      <c r="AE25" s="10">
        <f>IF(OR($C25="",$D25=""),"",IF(AND(DATE($B$1,1,1)+(27-1)*7&lt;=$D25,DATE($B$1,1,1)+27*7-1&gt;=$C25),1,""))</f>
        <v/>
      </c>
      <c r="AF25" s="10">
        <f>IF(OR($C25="",$D25=""),"",IF(AND(DATE($B$1,1,1)+(28-1)*7&lt;=$D25,DATE($B$1,1,1)+28*7-1&gt;=$C25),1,""))</f>
        <v/>
      </c>
      <c r="AG25" s="10">
        <f>IF(OR($C25="",$D25=""),"",IF(AND(DATE($B$1,1,1)+(29-1)*7&lt;=$D25,DATE($B$1,1,1)+29*7-1&gt;=$C25),1,""))</f>
        <v/>
      </c>
      <c r="AH25" s="10">
        <f>IF(OR($C25="",$D25=""),"",IF(AND(DATE($B$1,1,1)+(30-1)*7&lt;=$D25,DATE($B$1,1,1)+30*7-1&gt;=$C25),1,""))</f>
        <v/>
      </c>
      <c r="AI25" s="10">
        <f>IF(OR($C25="",$D25=""),"",IF(AND(DATE($B$1,1,1)+(31-1)*7&lt;=$D25,DATE($B$1,1,1)+31*7-1&gt;=$C25),1,""))</f>
        <v/>
      </c>
      <c r="AJ25" s="10">
        <f>IF(OR($C25="",$D25=""),"",IF(AND(DATE($B$1,1,1)+(32-1)*7&lt;=$D25,DATE($B$1,1,1)+32*7-1&gt;=$C25),1,""))</f>
        <v/>
      </c>
      <c r="AK25" s="10">
        <f>IF(OR($C25="",$D25=""),"",IF(AND(DATE($B$1,1,1)+(33-1)*7&lt;=$D25,DATE($B$1,1,1)+33*7-1&gt;=$C25),1,""))</f>
        <v/>
      </c>
      <c r="AL25" s="10">
        <f>IF(OR($C25="",$D25=""),"",IF(AND(DATE($B$1,1,1)+(34-1)*7&lt;=$D25,DATE($B$1,1,1)+34*7-1&gt;=$C25),1,""))</f>
        <v/>
      </c>
      <c r="AM25" s="10">
        <f>IF(OR($C25="",$D25=""),"",IF(AND(DATE($B$1,1,1)+(35-1)*7&lt;=$D25,DATE($B$1,1,1)+35*7-1&gt;=$C25),1,""))</f>
        <v/>
      </c>
      <c r="AN25" s="10">
        <f>IF(OR($C25="",$D25=""),"",IF(AND(DATE($B$1,1,1)+(36-1)*7&lt;=$D25,DATE($B$1,1,1)+36*7-1&gt;=$C25),1,""))</f>
        <v/>
      </c>
      <c r="AO25" s="10">
        <f>IF(OR($C25="",$D25=""),"",IF(AND(DATE($B$1,1,1)+(37-1)*7&lt;=$D25,DATE($B$1,1,1)+37*7-1&gt;=$C25),1,""))</f>
        <v/>
      </c>
      <c r="AP25" s="10">
        <f>IF(OR($C25="",$D25=""),"",IF(AND(DATE($B$1,1,1)+(38-1)*7&lt;=$D25,DATE($B$1,1,1)+38*7-1&gt;=$C25),1,""))</f>
        <v/>
      </c>
      <c r="AQ25" s="10">
        <f>IF(OR($C25="",$D25=""),"",IF(AND(DATE($B$1,1,1)+(39-1)*7&lt;=$D25,DATE($B$1,1,1)+39*7-1&gt;=$C25),1,""))</f>
        <v/>
      </c>
      <c r="AR25" s="10">
        <f>IF(OR($C25="",$D25=""),"",IF(AND(DATE($B$1,1,1)+(40-1)*7&lt;=$D25,DATE($B$1,1,1)+40*7-1&gt;=$C25),1,""))</f>
        <v/>
      </c>
      <c r="AS25" s="10">
        <f>IF(OR($C25="",$D25=""),"",IF(AND(DATE($B$1,1,1)+(41-1)*7&lt;=$D25,DATE($B$1,1,1)+41*7-1&gt;=$C25),1,""))</f>
        <v/>
      </c>
      <c r="AT25" s="10">
        <f>IF(OR($C25="",$D25=""),"",IF(AND(DATE($B$1,1,1)+(42-1)*7&lt;=$D25,DATE($B$1,1,1)+42*7-1&gt;=$C25),1,""))</f>
        <v/>
      </c>
      <c r="AU25" s="10">
        <f>IF(OR($C25="",$D25=""),"",IF(AND(DATE($B$1,1,1)+(43-1)*7&lt;=$D25,DATE($B$1,1,1)+43*7-1&gt;=$C25),1,""))</f>
        <v/>
      </c>
      <c r="AV25" s="10">
        <f>IF(OR($C25="",$D25=""),"",IF(AND(DATE($B$1,1,1)+(44-1)*7&lt;=$D25,DATE($B$1,1,1)+44*7-1&gt;=$C25),1,""))</f>
        <v/>
      </c>
      <c r="AW25" s="10">
        <f>IF(OR($C25="",$D25=""),"",IF(AND(DATE($B$1,1,1)+(45-1)*7&lt;=$D25,DATE($B$1,1,1)+45*7-1&gt;=$C25),1,""))</f>
        <v/>
      </c>
      <c r="AX25" s="10">
        <f>IF(OR($C25="",$D25=""),"",IF(AND(DATE($B$1,1,1)+(46-1)*7&lt;=$D25,DATE($B$1,1,1)+46*7-1&gt;=$C25),1,""))</f>
        <v/>
      </c>
      <c r="AY25" s="10">
        <f>IF(OR($C25="",$D25=""),"",IF(AND(DATE($B$1,1,1)+(47-1)*7&lt;=$D25,DATE($B$1,1,1)+47*7-1&gt;=$C25),1,""))</f>
        <v/>
      </c>
      <c r="AZ25" s="10">
        <f>IF(OR($C25="",$D25=""),"",IF(AND(DATE($B$1,1,1)+(48-1)*7&lt;=$D25,DATE($B$1,1,1)+48*7-1&gt;=$C25),1,""))</f>
        <v/>
      </c>
      <c r="BA25" s="10">
        <f>IF(OR($C25="",$D25=""),"",IF(AND(DATE($B$1,1,1)+(49-1)*7&lt;=$D25,DATE($B$1,1,1)+49*7-1&gt;=$C25),1,""))</f>
        <v/>
      </c>
      <c r="BB25" s="10">
        <f>IF(OR($C25="",$D25=""),"",IF(AND(DATE($B$1,1,1)+(50-1)*7&lt;=$D25,DATE($B$1,1,1)+50*7-1&gt;=$C25),1,""))</f>
        <v/>
      </c>
      <c r="BC25" s="10">
        <f>IF(OR($C25="",$D25=""),"",IF(AND(DATE($B$1,1,1)+(51-1)*7&lt;=$D25,DATE($B$1,1,1)+51*7-1&gt;=$C25),1,""))</f>
        <v/>
      </c>
      <c r="BD25" s="10">
        <f>IF(OR($C25="",$D25=""),"",IF(AND(DATE($B$1,1,1)+(52-1)*7&lt;=$D25,DATE($B$1,1,1)+52*7-1&gt;=$C25),1,""))</f>
        <v/>
      </c>
      <c r="BE25" s="10">
        <f>IF(OR($C25="",$D25=""),"",IF(AND(DATE($B$1,1,1)+(53-1)*7&lt;=$D25,DATE($B$1,1,1)+53*7-1&gt;=$C25),1,""))</f>
        <v/>
      </c>
      <c r="BF25" s="10">
        <f>IF(OR($C25="",$D25=""),"",IF(AND(DATE($B$1,1,1)+(54-1)*7&lt;=$D25,DATE($B$1,1,1)+54*7-1&gt;=$C25),1,""))</f>
        <v/>
      </c>
    </row>
    <row r="26">
      <c r="A26" s="6" t="n"/>
      <c r="B26" s="6" t="n"/>
      <c r="C26" s="11" t="n"/>
      <c r="D26" s="11" t="n"/>
      <c r="E26" s="10">
        <f>IF(OR($C26="",$D26=""),"",IF(AND(DATE($B$1,1,1)+(1-1)*7&lt;=$D26,DATE($B$1,1,1)+1*7-1&gt;=$C26),1,""))</f>
        <v/>
      </c>
      <c r="F26" s="10">
        <f>IF(OR($C26="",$D26=""),"",IF(AND(DATE($B$1,1,1)+(2-1)*7&lt;=$D26,DATE($B$1,1,1)+2*7-1&gt;=$C26),1,""))</f>
        <v/>
      </c>
      <c r="G26" s="10">
        <f>IF(OR($C26="",$D26=""),"",IF(AND(DATE($B$1,1,1)+(3-1)*7&lt;=$D26,DATE($B$1,1,1)+3*7-1&gt;=$C26),1,""))</f>
        <v/>
      </c>
      <c r="H26" s="10">
        <f>IF(OR($C26="",$D26=""),"",IF(AND(DATE($B$1,1,1)+(4-1)*7&lt;=$D26,DATE($B$1,1,1)+4*7-1&gt;=$C26),1,""))</f>
        <v/>
      </c>
      <c r="I26" s="10">
        <f>IF(OR($C26="",$D26=""),"",IF(AND(DATE($B$1,1,1)+(5-1)*7&lt;=$D26,DATE($B$1,1,1)+5*7-1&gt;=$C26),1,""))</f>
        <v/>
      </c>
      <c r="J26" s="10">
        <f>IF(OR($C26="",$D26=""),"",IF(AND(DATE($B$1,1,1)+(6-1)*7&lt;=$D26,DATE($B$1,1,1)+6*7-1&gt;=$C26),1,""))</f>
        <v/>
      </c>
      <c r="K26" s="10">
        <f>IF(OR($C26="",$D26=""),"",IF(AND(DATE($B$1,1,1)+(7-1)*7&lt;=$D26,DATE($B$1,1,1)+7*7-1&gt;=$C26),1,""))</f>
        <v/>
      </c>
      <c r="L26" s="10">
        <f>IF(OR($C26="",$D26=""),"",IF(AND(DATE($B$1,1,1)+(8-1)*7&lt;=$D26,DATE($B$1,1,1)+8*7-1&gt;=$C26),1,""))</f>
        <v/>
      </c>
      <c r="M26" s="10">
        <f>IF(OR($C26="",$D26=""),"",IF(AND(DATE($B$1,1,1)+(9-1)*7&lt;=$D26,DATE($B$1,1,1)+9*7-1&gt;=$C26),1,""))</f>
        <v/>
      </c>
      <c r="N26" s="10">
        <f>IF(OR($C26="",$D26=""),"",IF(AND(DATE($B$1,1,1)+(10-1)*7&lt;=$D26,DATE($B$1,1,1)+10*7-1&gt;=$C26),1,""))</f>
        <v/>
      </c>
      <c r="O26" s="10">
        <f>IF(OR($C26="",$D26=""),"",IF(AND(DATE($B$1,1,1)+(11-1)*7&lt;=$D26,DATE($B$1,1,1)+11*7-1&gt;=$C26),1,""))</f>
        <v/>
      </c>
      <c r="P26" s="10">
        <f>IF(OR($C26="",$D26=""),"",IF(AND(DATE($B$1,1,1)+(12-1)*7&lt;=$D26,DATE($B$1,1,1)+12*7-1&gt;=$C26),1,""))</f>
        <v/>
      </c>
      <c r="Q26" s="10">
        <f>IF(OR($C26="",$D26=""),"",IF(AND(DATE($B$1,1,1)+(13-1)*7&lt;=$D26,DATE($B$1,1,1)+13*7-1&gt;=$C26),1,""))</f>
        <v/>
      </c>
      <c r="R26" s="10">
        <f>IF(OR($C26="",$D26=""),"",IF(AND(DATE($B$1,1,1)+(14-1)*7&lt;=$D26,DATE($B$1,1,1)+14*7-1&gt;=$C26),1,""))</f>
        <v/>
      </c>
      <c r="S26" s="10">
        <f>IF(OR($C26="",$D26=""),"",IF(AND(DATE($B$1,1,1)+(15-1)*7&lt;=$D26,DATE($B$1,1,1)+15*7-1&gt;=$C26),1,""))</f>
        <v/>
      </c>
      <c r="T26" s="10">
        <f>IF(OR($C26="",$D26=""),"",IF(AND(DATE($B$1,1,1)+(16-1)*7&lt;=$D26,DATE($B$1,1,1)+16*7-1&gt;=$C26),1,""))</f>
        <v/>
      </c>
      <c r="U26" s="10">
        <f>IF(OR($C26="",$D26=""),"",IF(AND(DATE($B$1,1,1)+(17-1)*7&lt;=$D26,DATE($B$1,1,1)+17*7-1&gt;=$C26),1,""))</f>
        <v/>
      </c>
      <c r="V26" s="10">
        <f>IF(OR($C26="",$D26=""),"",IF(AND(DATE($B$1,1,1)+(18-1)*7&lt;=$D26,DATE($B$1,1,1)+18*7-1&gt;=$C26),1,""))</f>
        <v/>
      </c>
      <c r="W26" s="10">
        <f>IF(OR($C26="",$D26=""),"",IF(AND(DATE($B$1,1,1)+(19-1)*7&lt;=$D26,DATE($B$1,1,1)+19*7-1&gt;=$C26),1,""))</f>
        <v/>
      </c>
      <c r="X26" s="10">
        <f>IF(OR($C26="",$D26=""),"",IF(AND(DATE($B$1,1,1)+(20-1)*7&lt;=$D26,DATE($B$1,1,1)+20*7-1&gt;=$C26),1,""))</f>
        <v/>
      </c>
      <c r="Y26" s="10">
        <f>IF(OR($C26="",$D26=""),"",IF(AND(DATE($B$1,1,1)+(21-1)*7&lt;=$D26,DATE($B$1,1,1)+21*7-1&gt;=$C26),1,""))</f>
        <v/>
      </c>
      <c r="Z26" s="10">
        <f>IF(OR($C26="",$D26=""),"",IF(AND(DATE($B$1,1,1)+(22-1)*7&lt;=$D26,DATE($B$1,1,1)+22*7-1&gt;=$C26),1,""))</f>
        <v/>
      </c>
      <c r="AA26" s="10">
        <f>IF(OR($C26="",$D26=""),"",IF(AND(DATE($B$1,1,1)+(23-1)*7&lt;=$D26,DATE($B$1,1,1)+23*7-1&gt;=$C26),1,""))</f>
        <v/>
      </c>
      <c r="AB26" s="10">
        <f>IF(OR($C26="",$D26=""),"",IF(AND(DATE($B$1,1,1)+(24-1)*7&lt;=$D26,DATE($B$1,1,1)+24*7-1&gt;=$C26),1,""))</f>
        <v/>
      </c>
      <c r="AC26" s="10">
        <f>IF(OR($C26="",$D26=""),"",IF(AND(DATE($B$1,1,1)+(25-1)*7&lt;=$D26,DATE($B$1,1,1)+25*7-1&gt;=$C26),1,""))</f>
        <v/>
      </c>
      <c r="AD26" s="10">
        <f>IF(OR($C26="",$D26=""),"",IF(AND(DATE($B$1,1,1)+(26-1)*7&lt;=$D26,DATE($B$1,1,1)+26*7-1&gt;=$C26),1,""))</f>
        <v/>
      </c>
      <c r="AE26" s="10">
        <f>IF(OR($C26="",$D26=""),"",IF(AND(DATE($B$1,1,1)+(27-1)*7&lt;=$D26,DATE($B$1,1,1)+27*7-1&gt;=$C26),1,""))</f>
        <v/>
      </c>
      <c r="AF26" s="10">
        <f>IF(OR($C26="",$D26=""),"",IF(AND(DATE($B$1,1,1)+(28-1)*7&lt;=$D26,DATE($B$1,1,1)+28*7-1&gt;=$C26),1,""))</f>
        <v/>
      </c>
      <c r="AG26" s="10">
        <f>IF(OR($C26="",$D26=""),"",IF(AND(DATE($B$1,1,1)+(29-1)*7&lt;=$D26,DATE($B$1,1,1)+29*7-1&gt;=$C26),1,""))</f>
        <v/>
      </c>
      <c r="AH26" s="10">
        <f>IF(OR($C26="",$D26=""),"",IF(AND(DATE($B$1,1,1)+(30-1)*7&lt;=$D26,DATE($B$1,1,1)+30*7-1&gt;=$C26),1,""))</f>
        <v/>
      </c>
      <c r="AI26" s="10">
        <f>IF(OR($C26="",$D26=""),"",IF(AND(DATE($B$1,1,1)+(31-1)*7&lt;=$D26,DATE($B$1,1,1)+31*7-1&gt;=$C26),1,""))</f>
        <v/>
      </c>
      <c r="AJ26" s="10">
        <f>IF(OR($C26="",$D26=""),"",IF(AND(DATE($B$1,1,1)+(32-1)*7&lt;=$D26,DATE($B$1,1,1)+32*7-1&gt;=$C26),1,""))</f>
        <v/>
      </c>
      <c r="AK26" s="10">
        <f>IF(OR($C26="",$D26=""),"",IF(AND(DATE($B$1,1,1)+(33-1)*7&lt;=$D26,DATE($B$1,1,1)+33*7-1&gt;=$C26),1,""))</f>
        <v/>
      </c>
      <c r="AL26" s="10">
        <f>IF(OR($C26="",$D26=""),"",IF(AND(DATE($B$1,1,1)+(34-1)*7&lt;=$D26,DATE($B$1,1,1)+34*7-1&gt;=$C26),1,""))</f>
        <v/>
      </c>
      <c r="AM26" s="10">
        <f>IF(OR($C26="",$D26=""),"",IF(AND(DATE($B$1,1,1)+(35-1)*7&lt;=$D26,DATE($B$1,1,1)+35*7-1&gt;=$C26),1,""))</f>
        <v/>
      </c>
      <c r="AN26" s="10">
        <f>IF(OR($C26="",$D26=""),"",IF(AND(DATE($B$1,1,1)+(36-1)*7&lt;=$D26,DATE($B$1,1,1)+36*7-1&gt;=$C26),1,""))</f>
        <v/>
      </c>
      <c r="AO26" s="10">
        <f>IF(OR($C26="",$D26=""),"",IF(AND(DATE($B$1,1,1)+(37-1)*7&lt;=$D26,DATE($B$1,1,1)+37*7-1&gt;=$C26),1,""))</f>
        <v/>
      </c>
      <c r="AP26" s="10">
        <f>IF(OR($C26="",$D26=""),"",IF(AND(DATE($B$1,1,1)+(38-1)*7&lt;=$D26,DATE($B$1,1,1)+38*7-1&gt;=$C26),1,""))</f>
        <v/>
      </c>
      <c r="AQ26" s="10">
        <f>IF(OR($C26="",$D26=""),"",IF(AND(DATE($B$1,1,1)+(39-1)*7&lt;=$D26,DATE($B$1,1,1)+39*7-1&gt;=$C26),1,""))</f>
        <v/>
      </c>
      <c r="AR26" s="10">
        <f>IF(OR($C26="",$D26=""),"",IF(AND(DATE($B$1,1,1)+(40-1)*7&lt;=$D26,DATE($B$1,1,1)+40*7-1&gt;=$C26),1,""))</f>
        <v/>
      </c>
      <c r="AS26" s="10">
        <f>IF(OR($C26="",$D26=""),"",IF(AND(DATE($B$1,1,1)+(41-1)*7&lt;=$D26,DATE($B$1,1,1)+41*7-1&gt;=$C26),1,""))</f>
        <v/>
      </c>
      <c r="AT26" s="10">
        <f>IF(OR($C26="",$D26=""),"",IF(AND(DATE($B$1,1,1)+(42-1)*7&lt;=$D26,DATE($B$1,1,1)+42*7-1&gt;=$C26),1,""))</f>
        <v/>
      </c>
      <c r="AU26" s="10">
        <f>IF(OR($C26="",$D26=""),"",IF(AND(DATE($B$1,1,1)+(43-1)*7&lt;=$D26,DATE($B$1,1,1)+43*7-1&gt;=$C26),1,""))</f>
        <v/>
      </c>
      <c r="AV26" s="10">
        <f>IF(OR($C26="",$D26=""),"",IF(AND(DATE($B$1,1,1)+(44-1)*7&lt;=$D26,DATE($B$1,1,1)+44*7-1&gt;=$C26),1,""))</f>
        <v/>
      </c>
      <c r="AW26" s="10">
        <f>IF(OR($C26="",$D26=""),"",IF(AND(DATE($B$1,1,1)+(45-1)*7&lt;=$D26,DATE($B$1,1,1)+45*7-1&gt;=$C26),1,""))</f>
        <v/>
      </c>
      <c r="AX26" s="10">
        <f>IF(OR($C26="",$D26=""),"",IF(AND(DATE($B$1,1,1)+(46-1)*7&lt;=$D26,DATE($B$1,1,1)+46*7-1&gt;=$C26),1,""))</f>
        <v/>
      </c>
      <c r="AY26" s="10">
        <f>IF(OR($C26="",$D26=""),"",IF(AND(DATE($B$1,1,1)+(47-1)*7&lt;=$D26,DATE($B$1,1,1)+47*7-1&gt;=$C26),1,""))</f>
        <v/>
      </c>
      <c r="AZ26" s="10">
        <f>IF(OR($C26="",$D26=""),"",IF(AND(DATE($B$1,1,1)+(48-1)*7&lt;=$D26,DATE($B$1,1,1)+48*7-1&gt;=$C26),1,""))</f>
        <v/>
      </c>
      <c r="BA26" s="10">
        <f>IF(OR($C26="",$D26=""),"",IF(AND(DATE($B$1,1,1)+(49-1)*7&lt;=$D26,DATE($B$1,1,1)+49*7-1&gt;=$C26),1,""))</f>
        <v/>
      </c>
      <c r="BB26" s="10">
        <f>IF(OR($C26="",$D26=""),"",IF(AND(DATE($B$1,1,1)+(50-1)*7&lt;=$D26,DATE($B$1,1,1)+50*7-1&gt;=$C26),1,""))</f>
        <v/>
      </c>
      <c r="BC26" s="10">
        <f>IF(OR($C26="",$D26=""),"",IF(AND(DATE($B$1,1,1)+(51-1)*7&lt;=$D26,DATE($B$1,1,1)+51*7-1&gt;=$C26),1,""))</f>
        <v/>
      </c>
      <c r="BD26" s="10">
        <f>IF(OR($C26="",$D26=""),"",IF(AND(DATE($B$1,1,1)+(52-1)*7&lt;=$D26,DATE($B$1,1,1)+52*7-1&gt;=$C26),1,""))</f>
        <v/>
      </c>
      <c r="BE26" s="10">
        <f>IF(OR($C26="",$D26=""),"",IF(AND(DATE($B$1,1,1)+(53-1)*7&lt;=$D26,DATE($B$1,1,1)+53*7-1&gt;=$C26),1,""))</f>
        <v/>
      </c>
      <c r="BF26" s="10">
        <f>IF(OR($C26="",$D26=""),"",IF(AND(DATE($B$1,1,1)+(54-1)*7&lt;=$D26,DATE($B$1,1,1)+54*7-1&gt;=$C26),1,""))</f>
        <v/>
      </c>
    </row>
    <row r="27">
      <c r="A27" s="6" t="n"/>
      <c r="B27" s="6" t="n"/>
      <c r="C27" s="11" t="n"/>
      <c r="D27" s="11" t="n"/>
      <c r="E27" s="10">
        <f>IF(OR($C27="",$D27=""),"",IF(AND(DATE($B$1,1,1)+(1-1)*7&lt;=$D27,DATE($B$1,1,1)+1*7-1&gt;=$C27),1,""))</f>
        <v/>
      </c>
      <c r="F27" s="10">
        <f>IF(OR($C27="",$D27=""),"",IF(AND(DATE($B$1,1,1)+(2-1)*7&lt;=$D27,DATE($B$1,1,1)+2*7-1&gt;=$C27),1,""))</f>
        <v/>
      </c>
      <c r="G27" s="10">
        <f>IF(OR($C27="",$D27=""),"",IF(AND(DATE($B$1,1,1)+(3-1)*7&lt;=$D27,DATE($B$1,1,1)+3*7-1&gt;=$C27),1,""))</f>
        <v/>
      </c>
      <c r="H27" s="10">
        <f>IF(OR($C27="",$D27=""),"",IF(AND(DATE($B$1,1,1)+(4-1)*7&lt;=$D27,DATE($B$1,1,1)+4*7-1&gt;=$C27),1,""))</f>
        <v/>
      </c>
      <c r="I27" s="10">
        <f>IF(OR($C27="",$D27=""),"",IF(AND(DATE($B$1,1,1)+(5-1)*7&lt;=$D27,DATE($B$1,1,1)+5*7-1&gt;=$C27),1,""))</f>
        <v/>
      </c>
      <c r="J27" s="10">
        <f>IF(OR($C27="",$D27=""),"",IF(AND(DATE($B$1,1,1)+(6-1)*7&lt;=$D27,DATE($B$1,1,1)+6*7-1&gt;=$C27),1,""))</f>
        <v/>
      </c>
      <c r="K27" s="10">
        <f>IF(OR($C27="",$D27=""),"",IF(AND(DATE($B$1,1,1)+(7-1)*7&lt;=$D27,DATE($B$1,1,1)+7*7-1&gt;=$C27),1,""))</f>
        <v/>
      </c>
      <c r="L27" s="10">
        <f>IF(OR($C27="",$D27=""),"",IF(AND(DATE($B$1,1,1)+(8-1)*7&lt;=$D27,DATE($B$1,1,1)+8*7-1&gt;=$C27),1,""))</f>
        <v/>
      </c>
      <c r="M27" s="10">
        <f>IF(OR($C27="",$D27=""),"",IF(AND(DATE($B$1,1,1)+(9-1)*7&lt;=$D27,DATE($B$1,1,1)+9*7-1&gt;=$C27),1,""))</f>
        <v/>
      </c>
      <c r="N27" s="10">
        <f>IF(OR($C27="",$D27=""),"",IF(AND(DATE($B$1,1,1)+(10-1)*7&lt;=$D27,DATE($B$1,1,1)+10*7-1&gt;=$C27),1,""))</f>
        <v/>
      </c>
      <c r="O27" s="10">
        <f>IF(OR($C27="",$D27=""),"",IF(AND(DATE($B$1,1,1)+(11-1)*7&lt;=$D27,DATE($B$1,1,1)+11*7-1&gt;=$C27),1,""))</f>
        <v/>
      </c>
      <c r="P27" s="10">
        <f>IF(OR($C27="",$D27=""),"",IF(AND(DATE($B$1,1,1)+(12-1)*7&lt;=$D27,DATE($B$1,1,1)+12*7-1&gt;=$C27),1,""))</f>
        <v/>
      </c>
      <c r="Q27" s="10">
        <f>IF(OR($C27="",$D27=""),"",IF(AND(DATE($B$1,1,1)+(13-1)*7&lt;=$D27,DATE($B$1,1,1)+13*7-1&gt;=$C27),1,""))</f>
        <v/>
      </c>
      <c r="R27" s="10">
        <f>IF(OR($C27="",$D27=""),"",IF(AND(DATE($B$1,1,1)+(14-1)*7&lt;=$D27,DATE($B$1,1,1)+14*7-1&gt;=$C27),1,""))</f>
        <v/>
      </c>
      <c r="S27" s="10">
        <f>IF(OR($C27="",$D27=""),"",IF(AND(DATE($B$1,1,1)+(15-1)*7&lt;=$D27,DATE($B$1,1,1)+15*7-1&gt;=$C27),1,""))</f>
        <v/>
      </c>
      <c r="T27" s="10">
        <f>IF(OR($C27="",$D27=""),"",IF(AND(DATE($B$1,1,1)+(16-1)*7&lt;=$D27,DATE($B$1,1,1)+16*7-1&gt;=$C27),1,""))</f>
        <v/>
      </c>
      <c r="U27" s="10">
        <f>IF(OR($C27="",$D27=""),"",IF(AND(DATE($B$1,1,1)+(17-1)*7&lt;=$D27,DATE($B$1,1,1)+17*7-1&gt;=$C27),1,""))</f>
        <v/>
      </c>
      <c r="V27" s="10">
        <f>IF(OR($C27="",$D27=""),"",IF(AND(DATE($B$1,1,1)+(18-1)*7&lt;=$D27,DATE($B$1,1,1)+18*7-1&gt;=$C27),1,""))</f>
        <v/>
      </c>
      <c r="W27" s="10">
        <f>IF(OR($C27="",$D27=""),"",IF(AND(DATE($B$1,1,1)+(19-1)*7&lt;=$D27,DATE($B$1,1,1)+19*7-1&gt;=$C27),1,""))</f>
        <v/>
      </c>
      <c r="X27" s="10">
        <f>IF(OR($C27="",$D27=""),"",IF(AND(DATE($B$1,1,1)+(20-1)*7&lt;=$D27,DATE($B$1,1,1)+20*7-1&gt;=$C27),1,""))</f>
        <v/>
      </c>
      <c r="Y27" s="10">
        <f>IF(OR($C27="",$D27=""),"",IF(AND(DATE($B$1,1,1)+(21-1)*7&lt;=$D27,DATE($B$1,1,1)+21*7-1&gt;=$C27),1,""))</f>
        <v/>
      </c>
      <c r="Z27" s="10">
        <f>IF(OR($C27="",$D27=""),"",IF(AND(DATE($B$1,1,1)+(22-1)*7&lt;=$D27,DATE($B$1,1,1)+22*7-1&gt;=$C27),1,""))</f>
        <v/>
      </c>
      <c r="AA27" s="10">
        <f>IF(OR($C27="",$D27=""),"",IF(AND(DATE($B$1,1,1)+(23-1)*7&lt;=$D27,DATE($B$1,1,1)+23*7-1&gt;=$C27),1,""))</f>
        <v/>
      </c>
      <c r="AB27" s="10">
        <f>IF(OR($C27="",$D27=""),"",IF(AND(DATE($B$1,1,1)+(24-1)*7&lt;=$D27,DATE($B$1,1,1)+24*7-1&gt;=$C27),1,""))</f>
        <v/>
      </c>
      <c r="AC27" s="10">
        <f>IF(OR($C27="",$D27=""),"",IF(AND(DATE($B$1,1,1)+(25-1)*7&lt;=$D27,DATE($B$1,1,1)+25*7-1&gt;=$C27),1,""))</f>
        <v/>
      </c>
      <c r="AD27" s="10">
        <f>IF(OR($C27="",$D27=""),"",IF(AND(DATE($B$1,1,1)+(26-1)*7&lt;=$D27,DATE($B$1,1,1)+26*7-1&gt;=$C27),1,""))</f>
        <v/>
      </c>
      <c r="AE27" s="10">
        <f>IF(OR($C27="",$D27=""),"",IF(AND(DATE($B$1,1,1)+(27-1)*7&lt;=$D27,DATE($B$1,1,1)+27*7-1&gt;=$C27),1,""))</f>
        <v/>
      </c>
      <c r="AF27" s="10">
        <f>IF(OR($C27="",$D27=""),"",IF(AND(DATE($B$1,1,1)+(28-1)*7&lt;=$D27,DATE($B$1,1,1)+28*7-1&gt;=$C27),1,""))</f>
        <v/>
      </c>
      <c r="AG27" s="10">
        <f>IF(OR($C27="",$D27=""),"",IF(AND(DATE($B$1,1,1)+(29-1)*7&lt;=$D27,DATE($B$1,1,1)+29*7-1&gt;=$C27),1,""))</f>
        <v/>
      </c>
      <c r="AH27" s="10">
        <f>IF(OR($C27="",$D27=""),"",IF(AND(DATE($B$1,1,1)+(30-1)*7&lt;=$D27,DATE($B$1,1,1)+30*7-1&gt;=$C27),1,""))</f>
        <v/>
      </c>
      <c r="AI27" s="10">
        <f>IF(OR($C27="",$D27=""),"",IF(AND(DATE($B$1,1,1)+(31-1)*7&lt;=$D27,DATE($B$1,1,1)+31*7-1&gt;=$C27),1,""))</f>
        <v/>
      </c>
      <c r="AJ27" s="10">
        <f>IF(OR($C27="",$D27=""),"",IF(AND(DATE($B$1,1,1)+(32-1)*7&lt;=$D27,DATE($B$1,1,1)+32*7-1&gt;=$C27),1,""))</f>
        <v/>
      </c>
      <c r="AK27" s="10">
        <f>IF(OR($C27="",$D27=""),"",IF(AND(DATE($B$1,1,1)+(33-1)*7&lt;=$D27,DATE($B$1,1,1)+33*7-1&gt;=$C27),1,""))</f>
        <v/>
      </c>
      <c r="AL27" s="10">
        <f>IF(OR($C27="",$D27=""),"",IF(AND(DATE($B$1,1,1)+(34-1)*7&lt;=$D27,DATE($B$1,1,1)+34*7-1&gt;=$C27),1,""))</f>
        <v/>
      </c>
      <c r="AM27" s="10">
        <f>IF(OR($C27="",$D27=""),"",IF(AND(DATE($B$1,1,1)+(35-1)*7&lt;=$D27,DATE($B$1,1,1)+35*7-1&gt;=$C27),1,""))</f>
        <v/>
      </c>
      <c r="AN27" s="10">
        <f>IF(OR($C27="",$D27=""),"",IF(AND(DATE($B$1,1,1)+(36-1)*7&lt;=$D27,DATE($B$1,1,1)+36*7-1&gt;=$C27),1,""))</f>
        <v/>
      </c>
      <c r="AO27" s="10">
        <f>IF(OR($C27="",$D27=""),"",IF(AND(DATE($B$1,1,1)+(37-1)*7&lt;=$D27,DATE($B$1,1,1)+37*7-1&gt;=$C27),1,""))</f>
        <v/>
      </c>
      <c r="AP27" s="10">
        <f>IF(OR($C27="",$D27=""),"",IF(AND(DATE($B$1,1,1)+(38-1)*7&lt;=$D27,DATE($B$1,1,1)+38*7-1&gt;=$C27),1,""))</f>
        <v/>
      </c>
      <c r="AQ27" s="10">
        <f>IF(OR($C27="",$D27=""),"",IF(AND(DATE($B$1,1,1)+(39-1)*7&lt;=$D27,DATE($B$1,1,1)+39*7-1&gt;=$C27),1,""))</f>
        <v/>
      </c>
      <c r="AR27" s="10">
        <f>IF(OR($C27="",$D27=""),"",IF(AND(DATE($B$1,1,1)+(40-1)*7&lt;=$D27,DATE($B$1,1,1)+40*7-1&gt;=$C27),1,""))</f>
        <v/>
      </c>
      <c r="AS27" s="10">
        <f>IF(OR($C27="",$D27=""),"",IF(AND(DATE($B$1,1,1)+(41-1)*7&lt;=$D27,DATE($B$1,1,1)+41*7-1&gt;=$C27),1,""))</f>
        <v/>
      </c>
      <c r="AT27" s="10">
        <f>IF(OR($C27="",$D27=""),"",IF(AND(DATE($B$1,1,1)+(42-1)*7&lt;=$D27,DATE($B$1,1,1)+42*7-1&gt;=$C27),1,""))</f>
        <v/>
      </c>
      <c r="AU27" s="10">
        <f>IF(OR($C27="",$D27=""),"",IF(AND(DATE($B$1,1,1)+(43-1)*7&lt;=$D27,DATE($B$1,1,1)+43*7-1&gt;=$C27),1,""))</f>
        <v/>
      </c>
      <c r="AV27" s="10">
        <f>IF(OR($C27="",$D27=""),"",IF(AND(DATE($B$1,1,1)+(44-1)*7&lt;=$D27,DATE($B$1,1,1)+44*7-1&gt;=$C27),1,""))</f>
        <v/>
      </c>
      <c r="AW27" s="10">
        <f>IF(OR($C27="",$D27=""),"",IF(AND(DATE($B$1,1,1)+(45-1)*7&lt;=$D27,DATE($B$1,1,1)+45*7-1&gt;=$C27),1,""))</f>
        <v/>
      </c>
      <c r="AX27" s="10">
        <f>IF(OR($C27="",$D27=""),"",IF(AND(DATE($B$1,1,1)+(46-1)*7&lt;=$D27,DATE($B$1,1,1)+46*7-1&gt;=$C27),1,""))</f>
        <v/>
      </c>
      <c r="AY27" s="10">
        <f>IF(OR($C27="",$D27=""),"",IF(AND(DATE($B$1,1,1)+(47-1)*7&lt;=$D27,DATE($B$1,1,1)+47*7-1&gt;=$C27),1,""))</f>
        <v/>
      </c>
      <c r="AZ27" s="10">
        <f>IF(OR($C27="",$D27=""),"",IF(AND(DATE($B$1,1,1)+(48-1)*7&lt;=$D27,DATE($B$1,1,1)+48*7-1&gt;=$C27),1,""))</f>
        <v/>
      </c>
      <c r="BA27" s="10">
        <f>IF(OR($C27="",$D27=""),"",IF(AND(DATE($B$1,1,1)+(49-1)*7&lt;=$D27,DATE($B$1,1,1)+49*7-1&gt;=$C27),1,""))</f>
        <v/>
      </c>
      <c r="BB27" s="10">
        <f>IF(OR($C27="",$D27=""),"",IF(AND(DATE($B$1,1,1)+(50-1)*7&lt;=$D27,DATE($B$1,1,1)+50*7-1&gt;=$C27),1,""))</f>
        <v/>
      </c>
      <c r="BC27" s="10">
        <f>IF(OR($C27="",$D27=""),"",IF(AND(DATE($B$1,1,1)+(51-1)*7&lt;=$D27,DATE($B$1,1,1)+51*7-1&gt;=$C27),1,""))</f>
        <v/>
      </c>
      <c r="BD27" s="10">
        <f>IF(OR($C27="",$D27=""),"",IF(AND(DATE($B$1,1,1)+(52-1)*7&lt;=$D27,DATE($B$1,1,1)+52*7-1&gt;=$C27),1,""))</f>
        <v/>
      </c>
      <c r="BE27" s="10">
        <f>IF(OR($C27="",$D27=""),"",IF(AND(DATE($B$1,1,1)+(53-1)*7&lt;=$D27,DATE($B$1,1,1)+53*7-1&gt;=$C27),1,""))</f>
        <v/>
      </c>
      <c r="BF27" s="10">
        <f>IF(OR($C27="",$D27=""),"",IF(AND(DATE($B$1,1,1)+(54-1)*7&lt;=$D27,DATE($B$1,1,1)+54*7-1&gt;=$C27),1,""))</f>
        <v/>
      </c>
    </row>
    <row r="28">
      <c r="A28" s="6" t="n"/>
      <c r="B28" s="6" t="n"/>
      <c r="C28" s="11" t="n"/>
      <c r="D28" s="11" t="n"/>
      <c r="E28" s="10">
        <f>IF(OR($C28="",$D28=""),"",IF(AND(DATE($B$1,1,1)+(1-1)*7&lt;=$D28,DATE($B$1,1,1)+1*7-1&gt;=$C28),1,""))</f>
        <v/>
      </c>
      <c r="F28" s="10">
        <f>IF(OR($C28="",$D28=""),"",IF(AND(DATE($B$1,1,1)+(2-1)*7&lt;=$D28,DATE($B$1,1,1)+2*7-1&gt;=$C28),1,""))</f>
        <v/>
      </c>
      <c r="G28" s="10">
        <f>IF(OR($C28="",$D28=""),"",IF(AND(DATE($B$1,1,1)+(3-1)*7&lt;=$D28,DATE($B$1,1,1)+3*7-1&gt;=$C28),1,""))</f>
        <v/>
      </c>
      <c r="H28" s="10">
        <f>IF(OR($C28="",$D28=""),"",IF(AND(DATE($B$1,1,1)+(4-1)*7&lt;=$D28,DATE($B$1,1,1)+4*7-1&gt;=$C28),1,""))</f>
        <v/>
      </c>
      <c r="I28" s="10">
        <f>IF(OR($C28="",$D28=""),"",IF(AND(DATE($B$1,1,1)+(5-1)*7&lt;=$D28,DATE($B$1,1,1)+5*7-1&gt;=$C28),1,""))</f>
        <v/>
      </c>
      <c r="J28" s="10">
        <f>IF(OR($C28="",$D28=""),"",IF(AND(DATE($B$1,1,1)+(6-1)*7&lt;=$D28,DATE($B$1,1,1)+6*7-1&gt;=$C28),1,""))</f>
        <v/>
      </c>
      <c r="K28" s="10">
        <f>IF(OR($C28="",$D28=""),"",IF(AND(DATE($B$1,1,1)+(7-1)*7&lt;=$D28,DATE($B$1,1,1)+7*7-1&gt;=$C28),1,""))</f>
        <v/>
      </c>
      <c r="L28" s="10">
        <f>IF(OR($C28="",$D28=""),"",IF(AND(DATE($B$1,1,1)+(8-1)*7&lt;=$D28,DATE($B$1,1,1)+8*7-1&gt;=$C28),1,""))</f>
        <v/>
      </c>
      <c r="M28" s="10">
        <f>IF(OR($C28="",$D28=""),"",IF(AND(DATE($B$1,1,1)+(9-1)*7&lt;=$D28,DATE($B$1,1,1)+9*7-1&gt;=$C28),1,""))</f>
        <v/>
      </c>
      <c r="N28" s="10">
        <f>IF(OR($C28="",$D28=""),"",IF(AND(DATE($B$1,1,1)+(10-1)*7&lt;=$D28,DATE($B$1,1,1)+10*7-1&gt;=$C28),1,""))</f>
        <v/>
      </c>
      <c r="O28" s="10">
        <f>IF(OR($C28="",$D28=""),"",IF(AND(DATE($B$1,1,1)+(11-1)*7&lt;=$D28,DATE($B$1,1,1)+11*7-1&gt;=$C28),1,""))</f>
        <v/>
      </c>
      <c r="P28" s="10">
        <f>IF(OR($C28="",$D28=""),"",IF(AND(DATE($B$1,1,1)+(12-1)*7&lt;=$D28,DATE($B$1,1,1)+12*7-1&gt;=$C28),1,""))</f>
        <v/>
      </c>
      <c r="Q28" s="10">
        <f>IF(OR($C28="",$D28=""),"",IF(AND(DATE($B$1,1,1)+(13-1)*7&lt;=$D28,DATE($B$1,1,1)+13*7-1&gt;=$C28),1,""))</f>
        <v/>
      </c>
      <c r="R28" s="10">
        <f>IF(OR($C28="",$D28=""),"",IF(AND(DATE($B$1,1,1)+(14-1)*7&lt;=$D28,DATE($B$1,1,1)+14*7-1&gt;=$C28),1,""))</f>
        <v/>
      </c>
      <c r="S28" s="10">
        <f>IF(OR($C28="",$D28=""),"",IF(AND(DATE($B$1,1,1)+(15-1)*7&lt;=$D28,DATE($B$1,1,1)+15*7-1&gt;=$C28),1,""))</f>
        <v/>
      </c>
      <c r="T28" s="10">
        <f>IF(OR($C28="",$D28=""),"",IF(AND(DATE($B$1,1,1)+(16-1)*7&lt;=$D28,DATE($B$1,1,1)+16*7-1&gt;=$C28),1,""))</f>
        <v/>
      </c>
      <c r="U28" s="10">
        <f>IF(OR($C28="",$D28=""),"",IF(AND(DATE($B$1,1,1)+(17-1)*7&lt;=$D28,DATE($B$1,1,1)+17*7-1&gt;=$C28),1,""))</f>
        <v/>
      </c>
      <c r="V28" s="10">
        <f>IF(OR($C28="",$D28=""),"",IF(AND(DATE($B$1,1,1)+(18-1)*7&lt;=$D28,DATE($B$1,1,1)+18*7-1&gt;=$C28),1,""))</f>
        <v/>
      </c>
      <c r="W28" s="10">
        <f>IF(OR($C28="",$D28=""),"",IF(AND(DATE($B$1,1,1)+(19-1)*7&lt;=$D28,DATE($B$1,1,1)+19*7-1&gt;=$C28),1,""))</f>
        <v/>
      </c>
      <c r="X28" s="10">
        <f>IF(OR($C28="",$D28=""),"",IF(AND(DATE($B$1,1,1)+(20-1)*7&lt;=$D28,DATE($B$1,1,1)+20*7-1&gt;=$C28),1,""))</f>
        <v/>
      </c>
      <c r="Y28" s="10">
        <f>IF(OR($C28="",$D28=""),"",IF(AND(DATE($B$1,1,1)+(21-1)*7&lt;=$D28,DATE($B$1,1,1)+21*7-1&gt;=$C28),1,""))</f>
        <v/>
      </c>
      <c r="Z28" s="10">
        <f>IF(OR($C28="",$D28=""),"",IF(AND(DATE($B$1,1,1)+(22-1)*7&lt;=$D28,DATE($B$1,1,1)+22*7-1&gt;=$C28),1,""))</f>
        <v/>
      </c>
      <c r="AA28" s="10">
        <f>IF(OR($C28="",$D28=""),"",IF(AND(DATE($B$1,1,1)+(23-1)*7&lt;=$D28,DATE($B$1,1,1)+23*7-1&gt;=$C28),1,""))</f>
        <v/>
      </c>
      <c r="AB28" s="10">
        <f>IF(OR($C28="",$D28=""),"",IF(AND(DATE($B$1,1,1)+(24-1)*7&lt;=$D28,DATE($B$1,1,1)+24*7-1&gt;=$C28),1,""))</f>
        <v/>
      </c>
      <c r="AC28" s="10">
        <f>IF(OR($C28="",$D28=""),"",IF(AND(DATE($B$1,1,1)+(25-1)*7&lt;=$D28,DATE($B$1,1,1)+25*7-1&gt;=$C28),1,""))</f>
        <v/>
      </c>
      <c r="AD28" s="10">
        <f>IF(OR($C28="",$D28=""),"",IF(AND(DATE($B$1,1,1)+(26-1)*7&lt;=$D28,DATE($B$1,1,1)+26*7-1&gt;=$C28),1,""))</f>
        <v/>
      </c>
      <c r="AE28" s="10">
        <f>IF(OR($C28="",$D28=""),"",IF(AND(DATE($B$1,1,1)+(27-1)*7&lt;=$D28,DATE($B$1,1,1)+27*7-1&gt;=$C28),1,""))</f>
        <v/>
      </c>
      <c r="AF28" s="10">
        <f>IF(OR($C28="",$D28=""),"",IF(AND(DATE($B$1,1,1)+(28-1)*7&lt;=$D28,DATE($B$1,1,1)+28*7-1&gt;=$C28),1,""))</f>
        <v/>
      </c>
      <c r="AG28" s="10">
        <f>IF(OR($C28="",$D28=""),"",IF(AND(DATE($B$1,1,1)+(29-1)*7&lt;=$D28,DATE($B$1,1,1)+29*7-1&gt;=$C28),1,""))</f>
        <v/>
      </c>
      <c r="AH28" s="10">
        <f>IF(OR($C28="",$D28=""),"",IF(AND(DATE($B$1,1,1)+(30-1)*7&lt;=$D28,DATE($B$1,1,1)+30*7-1&gt;=$C28),1,""))</f>
        <v/>
      </c>
      <c r="AI28" s="10">
        <f>IF(OR($C28="",$D28=""),"",IF(AND(DATE($B$1,1,1)+(31-1)*7&lt;=$D28,DATE($B$1,1,1)+31*7-1&gt;=$C28),1,""))</f>
        <v/>
      </c>
      <c r="AJ28" s="10">
        <f>IF(OR($C28="",$D28=""),"",IF(AND(DATE($B$1,1,1)+(32-1)*7&lt;=$D28,DATE($B$1,1,1)+32*7-1&gt;=$C28),1,""))</f>
        <v/>
      </c>
      <c r="AK28" s="10">
        <f>IF(OR($C28="",$D28=""),"",IF(AND(DATE($B$1,1,1)+(33-1)*7&lt;=$D28,DATE($B$1,1,1)+33*7-1&gt;=$C28),1,""))</f>
        <v/>
      </c>
      <c r="AL28" s="10">
        <f>IF(OR($C28="",$D28=""),"",IF(AND(DATE($B$1,1,1)+(34-1)*7&lt;=$D28,DATE($B$1,1,1)+34*7-1&gt;=$C28),1,""))</f>
        <v/>
      </c>
      <c r="AM28" s="10">
        <f>IF(OR($C28="",$D28=""),"",IF(AND(DATE($B$1,1,1)+(35-1)*7&lt;=$D28,DATE($B$1,1,1)+35*7-1&gt;=$C28),1,""))</f>
        <v/>
      </c>
      <c r="AN28" s="10">
        <f>IF(OR($C28="",$D28=""),"",IF(AND(DATE($B$1,1,1)+(36-1)*7&lt;=$D28,DATE($B$1,1,1)+36*7-1&gt;=$C28),1,""))</f>
        <v/>
      </c>
      <c r="AO28" s="10">
        <f>IF(OR($C28="",$D28=""),"",IF(AND(DATE($B$1,1,1)+(37-1)*7&lt;=$D28,DATE($B$1,1,1)+37*7-1&gt;=$C28),1,""))</f>
        <v/>
      </c>
      <c r="AP28" s="10">
        <f>IF(OR($C28="",$D28=""),"",IF(AND(DATE($B$1,1,1)+(38-1)*7&lt;=$D28,DATE($B$1,1,1)+38*7-1&gt;=$C28),1,""))</f>
        <v/>
      </c>
      <c r="AQ28" s="10">
        <f>IF(OR($C28="",$D28=""),"",IF(AND(DATE($B$1,1,1)+(39-1)*7&lt;=$D28,DATE($B$1,1,1)+39*7-1&gt;=$C28),1,""))</f>
        <v/>
      </c>
      <c r="AR28" s="10">
        <f>IF(OR($C28="",$D28=""),"",IF(AND(DATE($B$1,1,1)+(40-1)*7&lt;=$D28,DATE($B$1,1,1)+40*7-1&gt;=$C28),1,""))</f>
        <v/>
      </c>
      <c r="AS28" s="10">
        <f>IF(OR($C28="",$D28=""),"",IF(AND(DATE($B$1,1,1)+(41-1)*7&lt;=$D28,DATE($B$1,1,1)+41*7-1&gt;=$C28),1,""))</f>
        <v/>
      </c>
      <c r="AT28" s="10">
        <f>IF(OR($C28="",$D28=""),"",IF(AND(DATE($B$1,1,1)+(42-1)*7&lt;=$D28,DATE($B$1,1,1)+42*7-1&gt;=$C28),1,""))</f>
        <v/>
      </c>
      <c r="AU28" s="10">
        <f>IF(OR($C28="",$D28=""),"",IF(AND(DATE($B$1,1,1)+(43-1)*7&lt;=$D28,DATE($B$1,1,1)+43*7-1&gt;=$C28),1,""))</f>
        <v/>
      </c>
      <c r="AV28" s="10">
        <f>IF(OR($C28="",$D28=""),"",IF(AND(DATE($B$1,1,1)+(44-1)*7&lt;=$D28,DATE($B$1,1,1)+44*7-1&gt;=$C28),1,""))</f>
        <v/>
      </c>
      <c r="AW28" s="10">
        <f>IF(OR($C28="",$D28=""),"",IF(AND(DATE($B$1,1,1)+(45-1)*7&lt;=$D28,DATE($B$1,1,1)+45*7-1&gt;=$C28),1,""))</f>
        <v/>
      </c>
      <c r="AX28" s="10">
        <f>IF(OR($C28="",$D28=""),"",IF(AND(DATE($B$1,1,1)+(46-1)*7&lt;=$D28,DATE($B$1,1,1)+46*7-1&gt;=$C28),1,""))</f>
        <v/>
      </c>
      <c r="AY28" s="10">
        <f>IF(OR($C28="",$D28=""),"",IF(AND(DATE($B$1,1,1)+(47-1)*7&lt;=$D28,DATE($B$1,1,1)+47*7-1&gt;=$C28),1,""))</f>
        <v/>
      </c>
      <c r="AZ28" s="10">
        <f>IF(OR($C28="",$D28=""),"",IF(AND(DATE($B$1,1,1)+(48-1)*7&lt;=$D28,DATE($B$1,1,1)+48*7-1&gt;=$C28),1,""))</f>
        <v/>
      </c>
      <c r="BA28" s="10">
        <f>IF(OR($C28="",$D28=""),"",IF(AND(DATE($B$1,1,1)+(49-1)*7&lt;=$D28,DATE($B$1,1,1)+49*7-1&gt;=$C28),1,""))</f>
        <v/>
      </c>
      <c r="BB28" s="10">
        <f>IF(OR($C28="",$D28=""),"",IF(AND(DATE($B$1,1,1)+(50-1)*7&lt;=$D28,DATE($B$1,1,1)+50*7-1&gt;=$C28),1,""))</f>
        <v/>
      </c>
      <c r="BC28" s="10">
        <f>IF(OR($C28="",$D28=""),"",IF(AND(DATE($B$1,1,1)+(51-1)*7&lt;=$D28,DATE($B$1,1,1)+51*7-1&gt;=$C28),1,""))</f>
        <v/>
      </c>
      <c r="BD28" s="10">
        <f>IF(OR($C28="",$D28=""),"",IF(AND(DATE($B$1,1,1)+(52-1)*7&lt;=$D28,DATE($B$1,1,1)+52*7-1&gt;=$C28),1,""))</f>
        <v/>
      </c>
      <c r="BE28" s="10">
        <f>IF(OR($C28="",$D28=""),"",IF(AND(DATE($B$1,1,1)+(53-1)*7&lt;=$D28,DATE($B$1,1,1)+53*7-1&gt;=$C28),1,""))</f>
        <v/>
      </c>
      <c r="BF28" s="10">
        <f>IF(OR($C28="",$D28=""),"",IF(AND(DATE($B$1,1,1)+(54-1)*7&lt;=$D28,DATE($B$1,1,1)+54*7-1&gt;=$C28),1,""))</f>
        <v/>
      </c>
    </row>
    <row r="29">
      <c r="A29" s="6" t="n"/>
      <c r="B29" s="6" t="n"/>
      <c r="C29" s="11" t="n"/>
      <c r="D29" s="11" t="n"/>
      <c r="E29" s="10">
        <f>IF(OR($C29="",$D29=""),"",IF(AND(DATE($B$1,1,1)+(1-1)*7&lt;=$D29,DATE($B$1,1,1)+1*7-1&gt;=$C29),1,""))</f>
        <v/>
      </c>
      <c r="F29" s="10">
        <f>IF(OR($C29="",$D29=""),"",IF(AND(DATE($B$1,1,1)+(2-1)*7&lt;=$D29,DATE($B$1,1,1)+2*7-1&gt;=$C29),1,""))</f>
        <v/>
      </c>
      <c r="G29" s="10">
        <f>IF(OR($C29="",$D29=""),"",IF(AND(DATE($B$1,1,1)+(3-1)*7&lt;=$D29,DATE($B$1,1,1)+3*7-1&gt;=$C29),1,""))</f>
        <v/>
      </c>
      <c r="H29" s="10">
        <f>IF(OR($C29="",$D29=""),"",IF(AND(DATE($B$1,1,1)+(4-1)*7&lt;=$D29,DATE($B$1,1,1)+4*7-1&gt;=$C29),1,""))</f>
        <v/>
      </c>
      <c r="I29" s="10">
        <f>IF(OR($C29="",$D29=""),"",IF(AND(DATE($B$1,1,1)+(5-1)*7&lt;=$D29,DATE($B$1,1,1)+5*7-1&gt;=$C29),1,""))</f>
        <v/>
      </c>
      <c r="J29" s="10">
        <f>IF(OR($C29="",$D29=""),"",IF(AND(DATE($B$1,1,1)+(6-1)*7&lt;=$D29,DATE($B$1,1,1)+6*7-1&gt;=$C29),1,""))</f>
        <v/>
      </c>
      <c r="K29" s="10">
        <f>IF(OR($C29="",$D29=""),"",IF(AND(DATE($B$1,1,1)+(7-1)*7&lt;=$D29,DATE($B$1,1,1)+7*7-1&gt;=$C29),1,""))</f>
        <v/>
      </c>
      <c r="L29" s="10">
        <f>IF(OR($C29="",$D29=""),"",IF(AND(DATE($B$1,1,1)+(8-1)*7&lt;=$D29,DATE($B$1,1,1)+8*7-1&gt;=$C29),1,""))</f>
        <v/>
      </c>
      <c r="M29" s="10">
        <f>IF(OR($C29="",$D29=""),"",IF(AND(DATE($B$1,1,1)+(9-1)*7&lt;=$D29,DATE($B$1,1,1)+9*7-1&gt;=$C29),1,""))</f>
        <v/>
      </c>
      <c r="N29" s="10">
        <f>IF(OR($C29="",$D29=""),"",IF(AND(DATE($B$1,1,1)+(10-1)*7&lt;=$D29,DATE($B$1,1,1)+10*7-1&gt;=$C29),1,""))</f>
        <v/>
      </c>
      <c r="O29" s="10">
        <f>IF(OR($C29="",$D29=""),"",IF(AND(DATE($B$1,1,1)+(11-1)*7&lt;=$D29,DATE($B$1,1,1)+11*7-1&gt;=$C29),1,""))</f>
        <v/>
      </c>
      <c r="P29" s="10">
        <f>IF(OR($C29="",$D29=""),"",IF(AND(DATE($B$1,1,1)+(12-1)*7&lt;=$D29,DATE($B$1,1,1)+12*7-1&gt;=$C29),1,""))</f>
        <v/>
      </c>
      <c r="Q29" s="10">
        <f>IF(OR($C29="",$D29=""),"",IF(AND(DATE($B$1,1,1)+(13-1)*7&lt;=$D29,DATE($B$1,1,1)+13*7-1&gt;=$C29),1,""))</f>
        <v/>
      </c>
      <c r="R29" s="10">
        <f>IF(OR($C29="",$D29=""),"",IF(AND(DATE($B$1,1,1)+(14-1)*7&lt;=$D29,DATE($B$1,1,1)+14*7-1&gt;=$C29),1,""))</f>
        <v/>
      </c>
      <c r="S29" s="10">
        <f>IF(OR($C29="",$D29=""),"",IF(AND(DATE($B$1,1,1)+(15-1)*7&lt;=$D29,DATE($B$1,1,1)+15*7-1&gt;=$C29),1,""))</f>
        <v/>
      </c>
      <c r="T29" s="10">
        <f>IF(OR($C29="",$D29=""),"",IF(AND(DATE($B$1,1,1)+(16-1)*7&lt;=$D29,DATE($B$1,1,1)+16*7-1&gt;=$C29),1,""))</f>
        <v/>
      </c>
      <c r="U29" s="10">
        <f>IF(OR($C29="",$D29=""),"",IF(AND(DATE($B$1,1,1)+(17-1)*7&lt;=$D29,DATE($B$1,1,1)+17*7-1&gt;=$C29),1,""))</f>
        <v/>
      </c>
      <c r="V29" s="10">
        <f>IF(OR($C29="",$D29=""),"",IF(AND(DATE($B$1,1,1)+(18-1)*7&lt;=$D29,DATE($B$1,1,1)+18*7-1&gt;=$C29),1,""))</f>
        <v/>
      </c>
      <c r="W29" s="10">
        <f>IF(OR($C29="",$D29=""),"",IF(AND(DATE($B$1,1,1)+(19-1)*7&lt;=$D29,DATE($B$1,1,1)+19*7-1&gt;=$C29),1,""))</f>
        <v/>
      </c>
      <c r="X29" s="10">
        <f>IF(OR($C29="",$D29=""),"",IF(AND(DATE($B$1,1,1)+(20-1)*7&lt;=$D29,DATE($B$1,1,1)+20*7-1&gt;=$C29),1,""))</f>
        <v/>
      </c>
      <c r="Y29" s="10">
        <f>IF(OR($C29="",$D29=""),"",IF(AND(DATE($B$1,1,1)+(21-1)*7&lt;=$D29,DATE($B$1,1,1)+21*7-1&gt;=$C29),1,""))</f>
        <v/>
      </c>
      <c r="Z29" s="10">
        <f>IF(OR($C29="",$D29=""),"",IF(AND(DATE($B$1,1,1)+(22-1)*7&lt;=$D29,DATE($B$1,1,1)+22*7-1&gt;=$C29),1,""))</f>
        <v/>
      </c>
      <c r="AA29" s="10">
        <f>IF(OR($C29="",$D29=""),"",IF(AND(DATE($B$1,1,1)+(23-1)*7&lt;=$D29,DATE($B$1,1,1)+23*7-1&gt;=$C29),1,""))</f>
        <v/>
      </c>
      <c r="AB29" s="10">
        <f>IF(OR($C29="",$D29=""),"",IF(AND(DATE($B$1,1,1)+(24-1)*7&lt;=$D29,DATE($B$1,1,1)+24*7-1&gt;=$C29),1,""))</f>
        <v/>
      </c>
      <c r="AC29" s="10">
        <f>IF(OR($C29="",$D29=""),"",IF(AND(DATE($B$1,1,1)+(25-1)*7&lt;=$D29,DATE($B$1,1,1)+25*7-1&gt;=$C29),1,""))</f>
        <v/>
      </c>
      <c r="AD29" s="10">
        <f>IF(OR($C29="",$D29=""),"",IF(AND(DATE($B$1,1,1)+(26-1)*7&lt;=$D29,DATE($B$1,1,1)+26*7-1&gt;=$C29),1,""))</f>
        <v/>
      </c>
      <c r="AE29" s="10">
        <f>IF(OR($C29="",$D29=""),"",IF(AND(DATE($B$1,1,1)+(27-1)*7&lt;=$D29,DATE($B$1,1,1)+27*7-1&gt;=$C29),1,""))</f>
        <v/>
      </c>
      <c r="AF29" s="10">
        <f>IF(OR($C29="",$D29=""),"",IF(AND(DATE($B$1,1,1)+(28-1)*7&lt;=$D29,DATE($B$1,1,1)+28*7-1&gt;=$C29),1,""))</f>
        <v/>
      </c>
      <c r="AG29" s="10">
        <f>IF(OR($C29="",$D29=""),"",IF(AND(DATE($B$1,1,1)+(29-1)*7&lt;=$D29,DATE($B$1,1,1)+29*7-1&gt;=$C29),1,""))</f>
        <v/>
      </c>
      <c r="AH29" s="10">
        <f>IF(OR($C29="",$D29=""),"",IF(AND(DATE($B$1,1,1)+(30-1)*7&lt;=$D29,DATE($B$1,1,1)+30*7-1&gt;=$C29),1,""))</f>
        <v/>
      </c>
      <c r="AI29" s="10">
        <f>IF(OR($C29="",$D29=""),"",IF(AND(DATE($B$1,1,1)+(31-1)*7&lt;=$D29,DATE($B$1,1,1)+31*7-1&gt;=$C29),1,""))</f>
        <v/>
      </c>
      <c r="AJ29" s="10">
        <f>IF(OR($C29="",$D29=""),"",IF(AND(DATE($B$1,1,1)+(32-1)*7&lt;=$D29,DATE($B$1,1,1)+32*7-1&gt;=$C29),1,""))</f>
        <v/>
      </c>
      <c r="AK29" s="10">
        <f>IF(OR($C29="",$D29=""),"",IF(AND(DATE($B$1,1,1)+(33-1)*7&lt;=$D29,DATE($B$1,1,1)+33*7-1&gt;=$C29),1,""))</f>
        <v/>
      </c>
      <c r="AL29" s="10">
        <f>IF(OR($C29="",$D29=""),"",IF(AND(DATE($B$1,1,1)+(34-1)*7&lt;=$D29,DATE($B$1,1,1)+34*7-1&gt;=$C29),1,""))</f>
        <v/>
      </c>
      <c r="AM29" s="10">
        <f>IF(OR($C29="",$D29=""),"",IF(AND(DATE($B$1,1,1)+(35-1)*7&lt;=$D29,DATE($B$1,1,1)+35*7-1&gt;=$C29),1,""))</f>
        <v/>
      </c>
      <c r="AN29" s="10">
        <f>IF(OR($C29="",$D29=""),"",IF(AND(DATE($B$1,1,1)+(36-1)*7&lt;=$D29,DATE($B$1,1,1)+36*7-1&gt;=$C29),1,""))</f>
        <v/>
      </c>
      <c r="AO29" s="10">
        <f>IF(OR($C29="",$D29=""),"",IF(AND(DATE($B$1,1,1)+(37-1)*7&lt;=$D29,DATE($B$1,1,1)+37*7-1&gt;=$C29),1,""))</f>
        <v/>
      </c>
      <c r="AP29" s="10">
        <f>IF(OR($C29="",$D29=""),"",IF(AND(DATE($B$1,1,1)+(38-1)*7&lt;=$D29,DATE($B$1,1,1)+38*7-1&gt;=$C29),1,""))</f>
        <v/>
      </c>
      <c r="AQ29" s="10">
        <f>IF(OR($C29="",$D29=""),"",IF(AND(DATE($B$1,1,1)+(39-1)*7&lt;=$D29,DATE($B$1,1,1)+39*7-1&gt;=$C29),1,""))</f>
        <v/>
      </c>
      <c r="AR29" s="10">
        <f>IF(OR($C29="",$D29=""),"",IF(AND(DATE($B$1,1,1)+(40-1)*7&lt;=$D29,DATE($B$1,1,1)+40*7-1&gt;=$C29),1,""))</f>
        <v/>
      </c>
      <c r="AS29" s="10">
        <f>IF(OR($C29="",$D29=""),"",IF(AND(DATE($B$1,1,1)+(41-1)*7&lt;=$D29,DATE($B$1,1,1)+41*7-1&gt;=$C29),1,""))</f>
        <v/>
      </c>
      <c r="AT29" s="10">
        <f>IF(OR($C29="",$D29=""),"",IF(AND(DATE($B$1,1,1)+(42-1)*7&lt;=$D29,DATE($B$1,1,1)+42*7-1&gt;=$C29),1,""))</f>
        <v/>
      </c>
      <c r="AU29" s="10">
        <f>IF(OR($C29="",$D29=""),"",IF(AND(DATE($B$1,1,1)+(43-1)*7&lt;=$D29,DATE($B$1,1,1)+43*7-1&gt;=$C29),1,""))</f>
        <v/>
      </c>
      <c r="AV29" s="10">
        <f>IF(OR($C29="",$D29=""),"",IF(AND(DATE($B$1,1,1)+(44-1)*7&lt;=$D29,DATE($B$1,1,1)+44*7-1&gt;=$C29),1,""))</f>
        <v/>
      </c>
      <c r="AW29" s="10">
        <f>IF(OR($C29="",$D29=""),"",IF(AND(DATE($B$1,1,1)+(45-1)*7&lt;=$D29,DATE($B$1,1,1)+45*7-1&gt;=$C29),1,""))</f>
        <v/>
      </c>
      <c r="AX29" s="10">
        <f>IF(OR($C29="",$D29=""),"",IF(AND(DATE($B$1,1,1)+(46-1)*7&lt;=$D29,DATE($B$1,1,1)+46*7-1&gt;=$C29),1,""))</f>
        <v/>
      </c>
      <c r="AY29" s="10">
        <f>IF(OR($C29="",$D29=""),"",IF(AND(DATE($B$1,1,1)+(47-1)*7&lt;=$D29,DATE($B$1,1,1)+47*7-1&gt;=$C29),1,""))</f>
        <v/>
      </c>
      <c r="AZ29" s="10">
        <f>IF(OR($C29="",$D29=""),"",IF(AND(DATE($B$1,1,1)+(48-1)*7&lt;=$D29,DATE($B$1,1,1)+48*7-1&gt;=$C29),1,""))</f>
        <v/>
      </c>
      <c r="BA29" s="10">
        <f>IF(OR($C29="",$D29=""),"",IF(AND(DATE($B$1,1,1)+(49-1)*7&lt;=$D29,DATE($B$1,1,1)+49*7-1&gt;=$C29),1,""))</f>
        <v/>
      </c>
      <c r="BB29" s="10">
        <f>IF(OR($C29="",$D29=""),"",IF(AND(DATE($B$1,1,1)+(50-1)*7&lt;=$D29,DATE($B$1,1,1)+50*7-1&gt;=$C29),1,""))</f>
        <v/>
      </c>
      <c r="BC29" s="10">
        <f>IF(OR($C29="",$D29=""),"",IF(AND(DATE($B$1,1,1)+(51-1)*7&lt;=$D29,DATE($B$1,1,1)+51*7-1&gt;=$C29),1,""))</f>
        <v/>
      </c>
      <c r="BD29" s="10">
        <f>IF(OR($C29="",$D29=""),"",IF(AND(DATE($B$1,1,1)+(52-1)*7&lt;=$D29,DATE($B$1,1,1)+52*7-1&gt;=$C29),1,""))</f>
        <v/>
      </c>
      <c r="BE29" s="10">
        <f>IF(OR($C29="",$D29=""),"",IF(AND(DATE($B$1,1,1)+(53-1)*7&lt;=$D29,DATE($B$1,1,1)+53*7-1&gt;=$C29),1,""))</f>
        <v/>
      </c>
      <c r="BF29" s="10">
        <f>IF(OR($C29="",$D29=""),"",IF(AND(DATE($B$1,1,1)+(54-1)*7&lt;=$D29,DATE($B$1,1,1)+54*7-1&gt;=$C29),1,""))</f>
        <v/>
      </c>
    </row>
    <row r="30">
      <c r="A30" s="6" t="n"/>
      <c r="B30" s="6" t="n"/>
      <c r="C30" s="11" t="n"/>
      <c r="D30" s="11" t="n"/>
      <c r="E30" s="10">
        <f>IF(OR($C30="",$D30=""),"",IF(AND(DATE($B$1,1,1)+(1-1)*7&lt;=$D30,DATE($B$1,1,1)+1*7-1&gt;=$C30),1,""))</f>
        <v/>
      </c>
      <c r="F30" s="10">
        <f>IF(OR($C30="",$D30=""),"",IF(AND(DATE($B$1,1,1)+(2-1)*7&lt;=$D30,DATE($B$1,1,1)+2*7-1&gt;=$C30),1,""))</f>
        <v/>
      </c>
      <c r="G30" s="10">
        <f>IF(OR($C30="",$D30=""),"",IF(AND(DATE($B$1,1,1)+(3-1)*7&lt;=$D30,DATE($B$1,1,1)+3*7-1&gt;=$C30),1,""))</f>
        <v/>
      </c>
      <c r="H30" s="10">
        <f>IF(OR($C30="",$D30=""),"",IF(AND(DATE($B$1,1,1)+(4-1)*7&lt;=$D30,DATE($B$1,1,1)+4*7-1&gt;=$C30),1,""))</f>
        <v/>
      </c>
      <c r="I30" s="10">
        <f>IF(OR($C30="",$D30=""),"",IF(AND(DATE($B$1,1,1)+(5-1)*7&lt;=$D30,DATE($B$1,1,1)+5*7-1&gt;=$C30),1,""))</f>
        <v/>
      </c>
      <c r="J30" s="10">
        <f>IF(OR($C30="",$D30=""),"",IF(AND(DATE($B$1,1,1)+(6-1)*7&lt;=$D30,DATE($B$1,1,1)+6*7-1&gt;=$C30),1,""))</f>
        <v/>
      </c>
      <c r="K30" s="10">
        <f>IF(OR($C30="",$D30=""),"",IF(AND(DATE($B$1,1,1)+(7-1)*7&lt;=$D30,DATE($B$1,1,1)+7*7-1&gt;=$C30),1,""))</f>
        <v/>
      </c>
      <c r="L30" s="10">
        <f>IF(OR($C30="",$D30=""),"",IF(AND(DATE($B$1,1,1)+(8-1)*7&lt;=$D30,DATE($B$1,1,1)+8*7-1&gt;=$C30),1,""))</f>
        <v/>
      </c>
      <c r="M30" s="10">
        <f>IF(OR($C30="",$D30=""),"",IF(AND(DATE($B$1,1,1)+(9-1)*7&lt;=$D30,DATE($B$1,1,1)+9*7-1&gt;=$C30),1,""))</f>
        <v/>
      </c>
      <c r="N30" s="10">
        <f>IF(OR($C30="",$D30=""),"",IF(AND(DATE($B$1,1,1)+(10-1)*7&lt;=$D30,DATE($B$1,1,1)+10*7-1&gt;=$C30),1,""))</f>
        <v/>
      </c>
      <c r="O30" s="10">
        <f>IF(OR($C30="",$D30=""),"",IF(AND(DATE($B$1,1,1)+(11-1)*7&lt;=$D30,DATE($B$1,1,1)+11*7-1&gt;=$C30),1,""))</f>
        <v/>
      </c>
      <c r="P30" s="10">
        <f>IF(OR($C30="",$D30=""),"",IF(AND(DATE($B$1,1,1)+(12-1)*7&lt;=$D30,DATE($B$1,1,1)+12*7-1&gt;=$C30),1,""))</f>
        <v/>
      </c>
      <c r="Q30" s="10">
        <f>IF(OR($C30="",$D30=""),"",IF(AND(DATE($B$1,1,1)+(13-1)*7&lt;=$D30,DATE($B$1,1,1)+13*7-1&gt;=$C30),1,""))</f>
        <v/>
      </c>
      <c r="R30" s="10">
        <f>IF(OR($C30="",$D30=""),"",IF(AND(DATE($B$1,1,1)+(14-1)*7&lt;=$D30,DATE($B$1,1,1)+14*7-1&gt;=$C30),1,""))</f>
        <v/>
      </c>
      <c r="S30" s="10">
        <f>IF(OR($C30="",$D30=""),"",IF(AND(DATE($B$1,1,1)+(15-1)*7&lt;=$D30,DATE($B$1,1,1)+15*7-1&gt;=$C30),1,""))</f>
        <v/>
      </c>
      <c r="T30" s="10">
        <f>IF(OR($C30="",$D30=""),"",IF(AND(DATE($B$1,1,1)+(16-1)*7&lt;=$D30,DATE($B$1,1,1)+16*7-1&gt;=$C30),1,""))</f>
        <v/>
      </c>
      <c r="U30" s="10">
        <f>IF(OR($C30="",$D30=""),"",IF(AND(DATE($B$1,1,1)+(17-1)*7&lt;=$D30,DATE($B$1,1,1)+17*7-1&gt;=$C30),1,""))</f>
        <v/>
      </c>
      <c r="V30" s="10">
        <f>IF(OR($C30="",$D30=""),"",IF(AND(DATE($B$1,1,1)+(18-1)*7&lt;=$D30,DATE($B$1,1,1)+18*7-1&gt;=$C30),1,""))</f>
        <v/>
      </c>
      <c r="W30" s="10">
        <f>IF(OR($C30="",$D30=""),"",IF(AND(DATE($B$1,1,1)+(19-1)*7&lt;=$D30,DATE($B$1,1,1)+19*7-1&gt;=$C30),1,""))</f>
        <v/>
      </c>
      <c r="X30" s="10">
        <f>IF(OR($C30="",$D30=""),"",IF(AND(DATE($B$1,1,1)+(20-1)*7&lt;=$D30,DATE($B$1,1,1)+20*7-1&gt;=$C30),1,""))</f>
        <v/>
      </c>
      <c r="Y30" s="10">
        <f>IF(OR($C30="",$D30=""),"",IF(AND(DATE($B$1,1,1)+(21-1)*7&lt;=$D30,DATE($B$1,1,1)+21*7-1&gt;=$C30),1,""))</f>
        <v/>
      </c>
      <c r="Z30" s="10">
        <f>IF(OR($C30="",$D30=""),"",IF(AND(DATE($B$1,1,1)+(22-1)*7&lt;=$D30,DATE($B$1,1,1)+22*7-1&gt;=$C30),1,""))</f>
        <v/>
      </c>
      <c r="AA30" s="10">
        <f>IF(OR($C30="",$D30=""),"",IF(AND(DATE($B$1,1,1)+(23-1)*7&lt;=$D30,DATE($B$1,1,1)+23*7-1&gt;=$C30),1,""))</f>
        <v/>
      </c>
      <c r="AB30" s="10">
        <f>IF(OR($C30="",$D30=""),"",IF(AND(DATE($B$1,1,1)+(24-1)*7&lt;=$D30,DATE($B$1,1,1)+24*7-1&gt;=$C30),1,""))</f>
        <v/>
      </c>
      <c r="AC30" s="10">
        <f>IF(OR($C30="",$D30=""),"",IF(AND(DATE($B$1,1,1)+(25-1)*7&lt;=$D30,DATE($B$1,1,1)+25*7-1&gt;=$C30),1,""))</f>
        <v/>
      </c>
      <c r="AD30" s="10">
        <f>IF(OR($C30="",$D30=""),"",IF(AND(DATE($B$1,1,1)+(26-1)*7&lt;=$D30,DATE($B$1,1,1)+26*7-1&gt;=$C30),1,""))</f>
        <v/>
      </c>
      <c r="AE30" s="10">
        <f>IF(OR($C30="",$D30=""),"",IF(AND(DATE($B$1,1,1)+(27-1)*7&lt;=$D30,DATE($B$1,1,1)+27*7-1&gt;=$C30),1,""))</f>
        <v/>
      </c>
      <c r="AF30" s="10">
        <f>IF(OR($C30="",$D30=""),"",IF(AND(DATE($B$1,1,1)+(28-1)*7&lt;=$D30,DATE($B$1,1,1)+28*7-1&gt;=$C30),1,""))</f>
        <v/>
      </c>
      <c r="AG30" s="10">
        <f>IF(OR($C30="",$D30=""),"",IF(AND(DATE($B$1,1,1)+(29-1)*7&lt;=$D30,DATE($B$1,1,1)+29*7-1&gt;=$C30),1,""))</f>
        <v/>
      </c>
      <c r="AH30" s="10">
        <f>IF(OR($C30="",$D30=""),"",IF(AND(DATE($B$1,1,1)+(30-1)*7&lt;=$D30,DATE($B$1,1,1)+30*7-1&gt;=$C30),1,""))</f>
        <v/>
      </c>
      <c r="AI30" s="10">
        <f>IF(OR($C30="",$D30=""),"",IF(AND(DATE($B$1,1,1)+(31-1)*7&lt;=$D30,DATE($B$1,1,1)+31*7-1&gt;=$C30),1,""))</f>
        <v/>
      </c>
      <c r="AJ30" s="10">
        <f>IF(OR($C30="",$D30=""),"",IF(AND(DATE($B$1,1,1)+(32-1)*7&lt;=$D30,DATE($B$1,1,1)+32*7-1&gt;=$C30),1,""))</f>
        <v/>
      </c>
      <c r="AK30" s="10">
        <f>IF(OR($C30="",$D30=""),"",IF(AND(DATE($B$1,1,1)+(33-1)*7&lt;=$D30,DATE($B$1,1,1)+33*7-1&gt;=$C30),1,""))</f>
        <v/>
      </c>
      <c r="AL30" s="10">
        <f>IF(OR($C30="",$D30=""),"",IF(AND(DATE($B$1,1,1)+(34-1)*7&lt;=$D30,DATE($B$1,1,1)+34*7-1&gt;=$C30),1,""))</f>
        <v/>
      </c>
      <c r="AM30" s="10">
        <f>IF(OR($C30="",$D30=""),"",IF(AND(DATE($B$1,1,1)+(35-1)*7&lt;=$D30,DATE($B$1,1,1)+35*7-1&gt;=$C30),1,""))</f>
        <v/>
      </c>
      <c r="AN30" s="10">
        <f>IF(OR($C30="",$D30=""),"",IF(AND(DATE($B$1,1,1)+(36-1)*7&lt;=$D30,DATE($B$1,1,1)+36*7-1&gt;=$C30),1,""))</f>
        <v/>
      </c>
      <c r="AO30" s="10">
        <f>IF(OR($C30="",$D30=""),"",IF(AND(DATE($B$1,1,1)+(37-1)*7&lt;=$D30,DATE($B$1,1,1)+37*7-1&gt;=$C30),1,""))</f>
        <v/>
      </c>
      <c r="AP30" s="10">
        <f>IF(OR($C30="",$D30=""),"",IF(AND(DATE($B$1,1,1)+(38-1)*7&lt;=$D30,DATE($B$1,1,1)+38*7-1&gt;=$C30),1,""))</f>
        <v/>
      </c>
      <c r="AQ30" s="10">
        <f>IF(OR($C30="",$D30=""),"",IF(AND(DATE($B$1,1,1)+(39-1)*7&lt;=$D30,DATE($B$1,1,1)+39*7-1&gt;=$C30),1,""))</f>
        <v/>
      </c>
      <c r="AR30" s="10">
        <f>IF(OR($C30="",$D30=""),"",IF(AND(DATE($B$1,1,1)+(40-1)*7&lt;=$D30,DATE($B$1,1,1)+40*7-1&gt;=$C30),1,""))</f>
        <v/>
      </c>
      <c r="AS30" s="10">
        <f>IF(OR($C30="",$D30=""),"",IF(AND(DATE($B$1,1,1)+(41-1)*7&lt;=$D30,DATE($B$1,1,1)+41*7-1&gt;=$C30),1,""))</f>
        <v/>
      </c>
      <c r="AT30" s="10">
        <f>IF(OR($C30="",$D30=""),"",IF(AND(DATE($B$1,1,1)+(42-1)*7&lt;=$D30,DATE($B$1,1,1)+42*7-1&gt;=$C30),1,""))</f>
        <v/>
      </c>
      <c r="AU30" s="10">
        <f>IF(OR($C30="",$D30=""),"",IF(AND(DATE($B$1,1,1)+(43-1)*7&lt;=$D30,DATE($B$1,1,1)+43*7-1&gt;=$C30),1,""))</f>
        <v/>
      </c>
      <c r="AV30" s="10">
        <f>IF(OR($C30="",$D30=""),"",IF(AND(DATE($B$1,1,1)+(44-1)*7&lt;=$D30,DATE($B$1,1,1)+44*7-1&gt;=$C30),1,""))</f>
        <v/>
      </c>
      <c r="AW30" s="10">
        <f>IF(OR($C30="",$D30=""),"",IF(AND(DATE($B$1,1,1)+(45-1)*7&lt;=$D30,DATE($B$1,1,1)+45*7-1&gt;=$C30),1,""))</f>
        <v/>
      </c>
      <c r="AX30" s="10">
        <f>IF(OR($C30="",$D30=""),"",IF(AND(DATE($B$1,1,1)+(46-1)*7&lt;=$D30,DATE($B$1,1,1)+46*7-1&gt;=$C30),1,""))</f>
        <v/>
      </c>
      <c r="AY30" s="10">
        <f>IF(OR($C30="",$D30=""),"",IF(AND(DATE($B$1,1,1)+(47-1)*7&lt;=$D30,DATE($B$1,1,1)+47*7-1&gt;=$C30),1,""))</f>
        <v/>
      </c>
      <c r="AZ30" s="10">
        <f>IF(OR($C30="",$D30=""),"",IF(AND(DATE($B$1,1,1)+(48-1)*7&lt;=$D30,DATE($B$1,1,1)+48*7-1&gt;=$C30),1,""))</f>
        <v/>
      </c>
      <c r="BA30" s="10">
        <f>IF(OR($C30="",$D30=""),"",IF(AND(DATE($B$1,1,1)+(49-1)*7&lt;=$D30,DATE($B$1,1,1)+49*7-1&gt;=$C30),1,""))</f>
        <v/>
      </c>
      <c r="BB30" s="10">
        <f>IF(OR($C30="",$D30=""),"",IF(AND(DATE($B$1,1,1)+(50-1)*7&lt;=$D30,DATE($B$1,1,1)+50*7-1&gt;=$C30),1,""))</f>
        <v/>
      </c>
      <c r="BC30" s="10">
        <f>IF(OR($C30="",$D30=""),"",IF(AND(DATE($B$1,1,1)+(51-1)*7&lt;=$D30,DATE($B$1,1,1)+51*7-1&gt;=$C30),1,""))</f>
        <v/>
      </c>
      <c r="BD30" s="10">
        <f>IF(OR($C30="",$D30=""),"",IF(AND(DATE($B$1,1,1)+(52-1)*7&lt;=$D30,DATE($B$1,1,1)+52*7-1&gt;=$C30),1,""))</f>
        <v/>
      </c>
      <c r="BE30" s="10">
        <f>IF(OR($C30="",$D30=""),"",IF(AND(DATE($B$1,1,1)+(53-1)*7&lt;=$D30,DATE($B$1,1,1)+53*7-1&gt;=$C30),1,""))</f>
        <v/>
      </c>
      <c r="BF30" s="10">
        <f>IF(OR($C30="",$D30=""),"",IF(AND(DATE($B$1,1,1)+(54-1)*7&lt;=$D30,DATE($B$1,1,1)+54*7-1&gt;=$C30),1,""))</f>
        <v/>
      </c>
    </row>
    <row r="31">
      <c r="A31" s="6" t="n"/>
      <c r="B31" s="6" t="n"/>
      <c r="C31" s="11" t="n"/>
      <c r="D31" s="11" t="n"/>
      <c r="E31" s="10">
        <f>IF(OR($C31="",$D31=""),"",IF(AND(DATE($B$1,1,1)+(1-1)*7&lt;=$D31,DATE($B$1,1,1)+1*7-1&gt;=$C31),1,""))</f>
        <v/>
      </c>
      <c r="F31" s="10">
        <f>IF(OR($C31="",$D31=""),"",IF(AND(DATE($B$1,1,1)+(2-1)*7&lt;=$D31,DATE($B$1,1,1)+2*7-1&gt;=$C31),1,""))</f>
        <v/>
      </c>
      <c r="G31" s="10">
        <f>IF(OR($C31="",$D31=""),"",IF(AND(DATE($B$1,1,1)+(3-1)*7&lt;=$D31,DATE($B$1,1,1)+3*7-1&gt;=$C31),1,""))</f>
        <v/>
      </c>
      <c r="H31" s="10">
        <f>IF(OR($C31="",$D31=""),"",IF(AND(DATE($B$1,1,1)+(4-1)*7&lt;=$D31,DATE($B$1,1,1)+4*7-1&gt;=$C31),1,""))</f>
        <v/>
      </c>
      <c r="I31" s="10">
        <f>IF(OR($C31="",$D31=""),"",IF(AND(DATE($B$1,1,1)+(5-1)*7&lt;=$D31,DATE($B$1,1,1)+5*7-1&gt;=$C31),1,""))</f>
        <v/>
      </c>
      <c r="J31" s="10">
        <f>IF(OR($C31="",$D31=""),"",IF(AND(DATE($B$1,1,1)+(6-1)*7&lt;=$D31,DATE($B$1,1,1)+6*7-1&gt;=$C31),1,""))</f>
        <v/>
      </c>
      <c r="K31" s="10">
        <f>IF(OR($C31="",$D31=""),"",IF(AND(DATE($B$1,1,1)+(7-1)*7&lt;=$D31,DATE($B$1,1,1)+7*7-1&gt;=$C31),1,""))</f>
        <v/>
      </c>
      <c r="L31" s="10">
        <f>IF(OR($C31="",$D31=""),"",IF(AND(DATE($B$1,1,1)+(8-1)*7&lt;=$D31,DATE($B$1,1,1)+8*7-1&gt;=$C31),1,""))</f>
        <v/>
      </c>
      <c r="M31" s="10">
        <f>IF(OR($C31="",$D31=""),"",IF(AND(DATE($B$1,1,1)+(9-1)*7&lt;=$D31,DATE($B$1,1,1)+9*7-1&gt;=$C31),1,""))</f>
        <v/>
      </c>
      <c r="N31" s="10">
        <f>IF(OR($C31="",$D31=""),"",IF(AND(DATE($B$1,1,1)+(10-1)*7&lt;=$D31,DATE($B$1,1,1)+10*7-1&gt;=$C31),1,""))</f>
        <v/>
      </c>
      <c r="O31" s="10">
        <f>IF(OR($C31="",$D31=""),"",IF(AND(DATE($B$1,1,1)+(11-1)*7&lt;=$D31,DATE($B$1,1,1)+11*7-1&gt;=$C31),1,""))</f>
        <v/>
      </c>
      <c r="P31" s="10">
        <f>IF(OR($C31="",$D31=""),"",IF(AND(DATE($B$1,1,1)+(12-1)*7&lt;=$D31,DATE($B$1,1,1)+12*7-1&gt;=$C31),1,""))</f>
        <v/>
      </c>
      <c r="Q31" s="10">
        <f>IF(OR($C31="",$D31=""),"",IF(AND(DATE($B$1,1,1)+(13-1)*7&lt;=$D31,DATE($B$1,1,1)+13*7-1&gt;=$C31),1,""))</f>
        <v/>
      </c>
      <c r="R31" s="10">
        <f>IF(OR($C31="",$D31=""),"",IF(AND(DATE($B$1,1,1)+(14-1)*7&lt;=$D31,DATE($B$1,1,1)+14*7-1&gt;=$C31),1,""))</f>
        <v/>
      </c>
      <c r="S31" s="10">
        <f>IF(OR($C31="",$D31=""),"",IF(AND(DATE($B$1,1,1)+(15-1)*7&lt;=$D31,DATE($B$1,1,1)+15*7-1&gt;=$C31),1,""))</f>
        <v/>
      </c>
      <c r="T31" s="10">
        <f>IF(OR($C31="",$D31=""),"",IF(AND(DATE($B$1,1,1)+(16-1)*7&lt;=$D31,DATE($B$1,1,1)+16*7-1&gt;=$C31),1,""))</f>
        <v/>
      </c>
      <c r="U31" s="10">
        <f>IF(OR($C31="",$D31=""),"",IF(AND(DATE($B$1,1,1)+(17-1)*7&lt;=$D31,DATE($B$1,1,1)+17*7-1&gt;=$C31),1,""))</f>
        <v/>
      </c>
      <c r="V31" s="10">
        <f>IF(OR($C31="",$D31=""),"",IF(AND(DATE($B$1,1,1)+(18-1)*7&lt;=$D31,DATE($B$1,1,1)+18*7-1&gt;=$C31),1,""))</f>
        <v/>
      </c>
      <c r="W31" s="10">
        <f>IF(OR($C31="",$D31=""),"",IF(AND(DATE($B$1,1,1)+(19-1)*7&lt;=$D31,DATE($B$1,1,1)+19*7-1&gt;=$C31),1,""))</f>
        <v/>
      </c>
      <c r="X31" s="10">
        <f>IF(OR($C31="",$D31=""),"",IF(AND(DATE($B$1,1,1)+(20-1)*7&lt;=$D31,DATE($B$1,1,1)+20*7-1&gt;=$C31),1,""))</f>
        <v/>
      </c>
      <c r="Y31" s="10">
        <f>IF(OR($C31="",$D31=""),"",IF(AND(DATE($B$1,1,1)+(21-1)*7&lt;=$D31,DATE($B$1,1,1)+21*7-1&gt;=$C31),1,""))</f>
        <v/>
      </c>
      <c r="Z31" s="10">
        <f>IF(OR($C31="",$D31=""),"",IF(AND(DATE($B$1,1,1)+(22-1)*7&lt;=$D31,DATE($B$1,1,1)+22*7-1&gt;=$C31),1,""))</f>
        <v/>
      </c>
      <c r="AA31" s="10">
        <f>IF(OR($C31="",$D31=""),"",IF(AND(DATE($B$1,1,1)+(23-1)*7&lt;=$D31,DATE($B$1,1,1)+23*7-1&gt;=$C31),1,""))</f>
        <v/>
      </c>
      <c r="AB31" s="10">
        <f>IF(OR($C31="",$D31=""),"",IF(AND(DATE($B$1,1,1)+(24-1)*7&lt;=$D31,DATE($B$1,1,1)+24*7-1&gt;=$C31),1,""))</f>
        <v/>
      </c>
      <c r="AC31" s="10">
        <f>IF(OR($C31="",$D31=""),"",IF(AND(DATE($B$1,1,1)+(25-1)*7&lt;=$D31,DATE($B$1,1,1)+25*7-1&gt;=$C31),1,""))</f>
        <v/>
      </c>
      <c r="AD31" s="10">
        <f>IF(OR($C31="",$D31=""),"",IF(AND(DATE($B$1,1,1)+(26-1)*7&lt;=$D31,DATE($B$1,1,1)+26*7-1&gt;=$C31),1,""))</f>
        <v/>
      </c>
      <c r="AE31" s="10">
        <f>IF(OR($C31="",$D31=""),"",IF(AND(DATE($B$1,1,1)+(27-1)*7&lt;=$D31,DATE($B$1,1,1)+27*7-1&gt;=$C31),1,""))</f>
        <v/>
      </c>
      <c r="AF31" s="10">
        <f>IF(OR($C31="",$D31=""),"",IF(AND(DATE($B$1,1,1)+(28-1)*7&lt;=$D31,DATE($B$1,1,1)+28*7-1&gt;=$C31),1,""))</f>
        <v/>
      </c>
      <c r="AG31" s="10">
        <f>IF(OR($C31="",$D31=""),"",IF(AND(DATE($B$1,1,1)+(29-1)*7&lt;=$D31,DATE($B$1,1,1)+29*7-1&gt;=$C31),1,""))</f>
        <v/>
      </c>
      <c r="AH31" s="10">
        <f>IF(OR($C31="",$D31=""),"",IF(AND(DATE($B$1,1,1)+(30-1)*7&lt;=$D31,DATE($B$1,1,1)+30*7-1&gt;=$C31),1,""))</f>
        <v/>
      </c>
      <c r="AI31" s="10">
        <f>IF(OR($C31="",$D31=""),"",IF(AND(DATE($B$1,1,1)+(31-1)*7&lt;=$D31,DATE($B$1,1,1)+31*7-1&gt;=$C31),1,""))</f>
        <v/>
      </c>
      <c r="AJ31" s="10">
        <f>IF(OR($C31="",$D31=""),"",IF(AND(DATE($B$1,1,1)+(32-1)*7&lt;=$D31,DATE($B$1,1,1)+32*7-1&gt;=$C31),1,""))</f>
        <v/>
      </c>
      <c r="AK31" s="10">
        <f>IF(OR($C31="",$D31=""),"",IF(AND(DATE($B$1,1,1)+(33-1)*7&lt;=$D31,DATE($B$1,1,1)+33*7-1&gt;=$C31),1,""))</f>
        <v/>
      </c>
      <c r="AL31" s="10">
        <f>IF(OR($C31="",$D31=""),"",IF(AND(DATE($B$1,1,1)+(34-1)*7&lt;=$D31,DATE($B$1,1,1)+34*7-1&gt;=$C31),1,""))</f>
        <v/>
      </c>
      <c r="AM31" s="10">
        <f>IF(OR($C31="",$D31=""),"",IF(AND(DATE($B$1,1,1)+(35-1)*7&lt;=$D31,DATE($B$1,1,1)+35*7-1&gt;=$C31),1,""))</f>
        <v/>
      </c>
      <c r="AN31" s="10">
        <f>IF(OR($C31="",$D31=""),"",IF(AND(DATE($B$1,1,1)+(36-1)*7&lt;=$D31,DATE($B$1,1,1)+36*7-1&gt;=$C31),1,""))</f>
        <v/>
      </c>
      <c r="AO31" s="10">
        <f>IF(OR($C31="",$D31=""),"",IF(AND(DATE($B$1,1,1)+(37-1)*7&lt;=$D31,DATE($B$1,1,1)+37*7-1&gt;=$C31),1,""))</f>
        <v/>
      </c>
      <c r="AP31" s="10">
        <f>IF(OR($C31="",$D31=""),"",IF(AND(DATE($B$1,1,1)+(38-1)*7&lt;=$D31,DATE($B$1,1,1)+38*7-1&gt;=$C31),1,""))</f>
        <v/>
      </c>
      <c r="AQ31" s="10">
        <f>IF(OR($C31="",$D31=""),"",IF(AND(DATE($B$1,1,1)+(39-1)*7&lt;=$D31,DATE($B$1,1,1)+39*7-1&gt;=$C31),1,""))</f>
        <v/>
      </c>
      <c r="AR31" s="10">
        <f>IF(OR($C31="",$D31=""),"",IF(AND(DATE($B$1,1,1)+(40-1)*7&lt;=$D31,DATE($B$1,1,1)+40*7-1&gt;=$C31),1,""))</f>
        <v/>
      </c>
      <c r="AS31" s="10">
        <f>IF(OR($C31="",$D31=""),"",IF(AND(DATE($B$1,1,1)+(41-1)*7&lt;=$D31,DATE($B$1,1,1)+41*7-1&gt;=$C31),1,""))</f>
        <v/>
      </c>
      <c r="AT31" s="10">
        <f>IF(OR($C31="",$D31=""),"",IF(AND(DATE($B$1,1,1)+(42-1)*7&lt;=$D31,DATE($B$1,1,1)+42*7-1&gt;=$C31),1,""))</f>
        <v/>
      </c>
      <c r="AU31" s="10">
        <f>IF(OR($C31="",$D31=""),"",IF(AND(DATE($B$1,1,1)+(43-1)*7&lt;=$D31,DATE($B$1,1,1)+43*7-1&gt;=$C31),1,""))</f>
        <v/>
      </c>
      <c r="AV31" s="10">
        <f>IF(OR($C31="",$D31=""),"",IF(AND(DATE($B$1,1,1)+(44-1)*7&lt;=$D31,DATE($B$1,1,1)+44*7-1&gt;=$C31),1,""))</f>
        <v/>
      </c>
      <c r="AW31" s="10">
        <f>IF(OR($C31="",$D31=""),"",IF(AND(DATE($B$1,1,1)+(45-1)*7&lt;=$D31,DATE($B$1,1,1)+45*7-1&gt;=$C31),1,""))</f>
        <v/>
      </c>
      <c r="AX31" s="10">
        <f>IF(OR($C31="",$D31=""),"",IF(AND(DATE($B$1,1,1)+(46-1)*7&lt;=$D31,DATE($B$1,1,1)+46*7-1&gt;=$C31),1,""))</f>
        <v/>
      </c>
      <c r="AY31" s="10">
        <f>IF(OR($C31="",$D31=""),"",IF(AND(DATE($B$1,1,1)+(47-1)*7&lt;=$D31,DATE($B$1,1,1)+47*7-1&gt;=$C31),1,""))</f>
        <v/>
      </c>
      <c r="AZ31" s="10">
        <f>IF(OR($C31="",$D31=""),"",IF(AND(DATE($B$1,1,1)+(48-1)*7&lt;=$D31,DATE($B$1,1,1)+48*7-1&gt;=$C31),1,""))</f>
        <v/>
      </c>
      <c r="BA31" s="10">
        <f>IF(OR($C31="",$D31=""),"",IF(AND(DATE($B$1,1,1)+(49-1)*7&lt;=$D31,DATE($B$1,1,1)+49*7-1&gt;=$C31),1,""))</f>
        <v/>
      </c>
      <c r="BB31" s="10">
        <f>IF(OR($C31="",$D31=""),"",IF(AND(DATE($B$1,1,1)+(50-1)*7&lt;=$D31,DATE($B$1,1,1)+50*7-1&gt;=$C31),1,""))</f>
        <v/>
      </c>
      <c r="BC31" s="10">
        <f>IF(OR($C31="",$D31=""),"",IF(AND(DATE($B$1,1,1)+(51-1)*7&lt;=$D31,DATE($B$1,1,1)+51*7-1&gt;=$C31),1,""))</f>
        <v/>
      </c>
      <c r="BD31" s="10">
        <f>IF(OR($C31="",$D31=""),"",IF(AND(DATE($B$1,1,1)+(52-1)*7&lt;=$D31,DATE($B$1,1,1)+52*7-1&gt;=$C31),1,""))</f>
        <v/>
      </c>
      <c r="BE31" s="10">
        <f>IF(OR($C31="",$D31=""),"",IF(AND(DATE($B$1,1,1)+(53-1)*7&lt;=$D31,DATE($B$1,1,1)+53*7-1&gt;=$C31),1,""))</f>
        <v/>
      </c>
      <c r="BF31" s="10">
        <f>IF(OR($C31="",$D31=""),"",IF(AND(DATE($B$1,1,1)+(54-1)*7&lt;=$D31,DATE($B$1,1,1)+54*7-1&gt;=$C31),1,""))</f>
        <v/>
      </c>
    </row>
    <row r="32">
      <c r="A32" s="6" t="n"/>
      <c r="B32" s="6" t="n"/>
      <c r="C32" s="11" t="n"/>
      <c r="D32" s="11" t="n"/>
      <c r="E32" s="10">
        <f>IF(OR($C32="",$D32=""),"",IF(AND(DATE($B$1,1,1)+(1-1)*7&lt;=$D32,DATE($B$1,1,1)+1*7-1&gt;=$C32),1,""))</f>
        <v/>
      </c>
      <c r="F32" s="10">
        <f>IF(OR($C32="",$D32=""),"",IF(AND(DATE($B$1,1,1)+(2-1)*7&lt;=$D32,DATE($B$1,1,1)+2*7-1&gt;=$C32),1,""))</f>
        <v/>
      </c>
      <c r="G32" s="10">
        <f>IF(OR($C32="",$D32=""),"",IF(AND(DATE($B$1,1,1)+(3-1)*7&lt;=$D32,DATE($B$1,1,1)+3*7-1&gt;=$C32),1,""))</f>
        <v/>
      </c>
      <c r="H32" s="10">
        <f>IF(OR($C32="",$D32=""),"",IF(AND(DATE($B$1,1,1)+(4-1)*7&lt;=$D32,DATE($B$1,1,1)+4*7-1&gt;=$C32),1,""))</f>
        <v/>
      </c>
      <c r="I32" s="10">
        <f>IF(OR($C32="",$D32=""),"",IF(AND(DATE($B$1,1,1)+(5-1)*7&lt;=$D32,DATE($B$1,1,1)+5*7-1&gt;=$C32),1,""))</f>
        <v/>
      </c>
      <c r="J32" s="10">
        <f>IF(OR($C32="",$D32=""),"",IF(AND(DATE($B$1,1,1)+(6-1)*7&lt;=$D32,DATE($B$1,1,1)+6*7-1&gt;=$C32),1,""))</f>
        <v/>
      </c>
      <c r="K32" s="10">
        <f>IF(OR($C32="",$D32=""),"",IF(AND(DATE($B$1,1,1)+(7-1)*7&lt;=$D32,DATE($B$1,1,1)+7*7-1&gt;=$C32),1,""))</f>
        <v/>
      </c>
      <c r="L32" s="10">
        <f>IF(OR($C32="",$D32=""),"",IF(AND(DATE($B$1,1,1)+(8-1)*7&lt;=$D32,DATE($B$1,1,1)+8*7-1&gt;=$C32),1,""))</f>
        <v/>
      </c>
      <c r="M32" s="10">
        <f>IF(OR($C32="",$D32=""),"",IF(AND(DATE($B$1,1,1)+(9-1)*7&lt;=$D32,DATE($B$1,1,1)+9*7-1&gt;=$C32),1,""))</f>
        <v/>
      </c>
      <c r="N32" s="10">
        <f>IF(OR($C32="",$D32=""),"",IF(AND(DATE($B$1,1,1)+(10-1)*7&lt;=$D32,DATE($B$1,1,1)+10*7-1&gt;=$C32),1,""))</f>
        <v/>
      </c>
      <c r="O32" s="10">
        <f>IF(OR($C32="",$D32=""),"",IF(AND(DATE($B$1,1,1)+(11-1)*7&lt;=$D32,DATE($B$1,1,1)+11*7-1&gt;=$C32),1,""))</f>
        <v/>
      </c>
      <c r="P32" s="10">
        <f>IF(OR($C32="",$D32=""),"",IF(AND(DATE($B$1,1,1)+(12-1)*7&lt;=$D32,DATE($B$1,1,1)+12*7-1&gt;=$C32),1,""))</f>
        <v/>
      </c>
      <c r="Q32" s="10">
        <f>IF(OR($C32="",$D32=""),"",IF(AND(DATE($B$1,1,1)+(13-1)*7&lt;=$D32,DATE($B$1,1,1)+13*7-1&gt;=$C32),1,""))</f>
        <v/>
      </c>
      <c r="R32" s="10">
        <f>IF(OR($C32="",$D32=""),"",IF(AND(DATE($B$1,1,1)+(14-1)*7&lt;=$D32,DATE($B$1,1,1)+14*7-1&gt;=$C32),1,""))</f>
        <v/>
      </c>
      <c r="S32" s="10">
        <f>IF(OR($C32="",$D32=""),"",IF(AND(DATE($B$1,1,1)+(15-1)*7&lt;=$D32,DATE($B$1,1,1)+15*7-1&gt;=$C32),1,""))</f>
        <v/>
      </c>
      <c r="T32" s="10">
        <f>IF(OR($C32="",$D32=""),"",IF(AND(DATE($B$1,1,1)+(16-1)*7&lt;=$D32,DATE($B$1,1,1)+16*7-1&gt;=$C32),1,""))</f>
        <v/>
      </c>
      <c r="U32" s="10">
        <f>IF(OR($C32="",$D32=""),"",IF(AND(DATE($B$1,1,1)+(17-1)*7&lt;=$D32,DATE($B$1,1,1)+17*7-1&gt;=$C32),1,""))</f>
        <v/>
      </c>
      <c r="V32" s="10">
        <f>IF(OR($C32="",$D32=""),"",IF(AND(DATE($B$1,1,1)+(18-1)*7&lt;=$D32,DATE($B$1,1,1)+18*7-1&gt;=$C32),1,""))</f>
        <v/>
      </c>
      <c r="W32" s="10">
        <f>IF(OR($C32="",$D32=""),"",IF(AND(DATE($B$1,1,1)+(19-1)*7&lt;=$D32,DATE($B$1,1,1)+19*7-1&gt;=$C32),1,""))</f>
        <v/>
      </c>
      <c r="X32" s="10">
        <f>IF(OR($C32="",$D32=""),"",IF(AND(DATE($B$1,1,1)+(20-1)*7&lt;=$D32,DATE($B$1,1,1)+20*7-1&gt;=$C32),1,""))</f>
        <v/>
      </c>
      <c r="Y32" s="10">
        <f>IF(OR($C32="",$D32=""),"",IF(AND(DATE($B$1,1,1)+(21-1)*7&lt;=$D32,DATE($B$1,1,1)+21*7-1&gt;=$C32),1,""))</f>
        <v/>
      </c>
      <c r="Z32" s="10">
        <f>IF(OR($C32="",$D32=""),"",IF(AND(DATE($B$1,1,1)+(22-1)*7&lt;=$D32,DATE($B$1,1,1)+22*7-1&gt;=$C32),1,""))</f>
        <v/>
      </c>
      <c r="AA32" s="10">
        <f>IF(OR($C32="",$D32=""),"",IF(AND(DATE($B$1,1,1)+(23-1)*7&lt;=$D32,DATE($B$1,1,1)+23*7-1&gt;=$C32),1,""))</f>
        <v/>
      </c>
      <c r="AB32" s="10">
        <f>IF(OR($C32="",$D32=""),"",IF(AND(DATE($B$1,1,1)+(24-1)*7&lt;=$D32,DATE($B$1,1,1)+24*7-1&gt;=$C32),1,""))</f>
        <v/>
      </c>
      <c r="AC32" s="10">
        <f>IF(OR($C32="",$D32=""),"",IF(AND(DATE($B$1,1,1)+(25-1)*7&lt;=$D32,DATE($B$1,1,1)+25*7-1&gt;=$C32),1,""))</f>
        <v/>
      </c>
      <c r="AD32" s="10">
        <f>IF(OR($C32="",$D32=""),"",IF(AND(DATE($B$1,1,1)+(26-1)*7&lt;=$D32,DATE($B$1,1,1)+26*7-1&gt;=$C32),1,""))</f>
        <v/>
      </c>
      <c r="AE32" s="10">
        <f>IF(OR($C32="",$D32=""),"",IF(AND(DATE($B$1,1,1)+(27-1)*7&lt;=$D32,DATE($B$1,1,1)+27*7-1&gt;=$C32),1,""))</f>
        <v/>
      </c>
      <c r="AF32" s="10">
        <f>IF(OR($C32="",$D32=""),"",IF(AND(DATE($B$1,1,1)+(28-1)*7&lt;=$D32,DATE($B$1,1,1)+28*7-1&gt;=$C32),1,""))</f>
        <v/>
      </c>
      <c r="AG32" s="10">
        <f>IF(OR($C32="",$D32=""),"",IF(AND(DATE($B$1,1,1)+(29-1)*7&lt;=$D32,DATE($B$1,1,1)+29*7-1&gt;=$C32),1,""))</f>
        <v/>
      </c>
      <c r="AH32" s="10">
        <f>IF(OR($C32="",$D32=""),"",IF(AND(DATE($B$1,1,1)+(30-1)*7&lt;=$D32,DATE($B$1,1,1)+30*7-1&gt;=$C32),1,""))</f>
        <v/>
      </c>
      <c r="AI32" s="10">
        <f>IF(OR($C32="",$D32=""),"",IF(AND(DATE($B$1,1,1)+(31-1)*7&lt;=$D32,DATE($B$1,1,1)+31*7-1&gt;=$C32),1,""))</f>
        <v/>
      </c>
      <c r="AJ32" s="10">
        <f>IF(OR($C32="",$D32=""),"",IF(AND(DATE($B$1,1,1)+(32-1)*7&lt;=$D32,DATE($B$1,1,1)+32*7-1&gt;=$C32),1,""))</f>
        <v/>
      </c>
      <c r="AK32" s="10">
        <f>IF(OR($C32="",$D32=""),"",IF(AND(DATE($B$1,1,1)+(33-1)*7&lt;=$D32,DATE($B$1,1,1)+33*7-1&gt;=$C32),1,""))</f>
        <v/>
      </c>
      <c r="AL32" s="10">
        <f>IF(OR($C32="",$D32=""),"",IF(AND(DATE($B$1,1,1)+(34-1)*7&lt;=$D32,DATE($B$1,1,1)+34*7-1&gt;=$C32),1,""))</f>
        <v/>
      </c>
      <c r="AM32" s="10">
        <f>IF(OR($C32="",$D32=""),"",IF(AND(DATE($B$1,1,1)+(35-1)*7&lt;=$D32,DATE($B$1,1,1)+35*7-1&gt;=$C32),1,""))</f>
        <v/>
      </c>
      <c r="AN32" s="10">
        <f>IF(OR($C32="",$D32=""),"",IF(AND(DATE($B$1,1,1)+(36-1)*7&lt;=$D32,DATE($B$1,1,1)+36*7-1&gt;=$C32),1,""))</f>
        <v/>
      </c>
      <c r="AO32" s="10">
        <f>IF(OR($C32="",$D32=""),"",IF(AND(DATE($B$1,1,1)+(37-1)*7&lt;=$D32,DATE($B$1,1,1)+37*7-1&gt;=$C32),1,""))</f>
        <v/>
      </c>
      <c r="AP32" s="10">
        <f>IF(OR($C32="",$D32=""),"",IF(AND(DATE($B$1,1,1)+(38-1)*7&lt;=$D32,DATE($B$1,1,1)+38*7-1&gt;=$C32),1,""))</f>
        <v/>
      </c>
      <c r="AQ32" s="10">
        <f>IF(OR($C32="",$D32=""),"",IF(AND(DATE($B$1,1,1)+(39-1)*7&lt;=$D32,DATE($B$1,1,1)+39*7-1&gt;=$C32),1,""))</f>
        <v/>
      </c>
      <c r="AR32" s="10">
        <f>IF(OR($C32="",$D32=""),"",IF(AND(DATE($B$1,1,1)+(40-1)*7&lt;=$D32,DATE($B$1,1,1)+40*7-1&gt;=$C32),1,""))</f>
        <v/>
      </c>
      <c r="AS32" s="10">
        <f>IF(OR($C32="",$D32=""),"",IF(AND(DATE($B$1,1,1)+(41-1)*7&lt;=$D32,DATE($B$1,1,1)+41*7-1&gt;=$C32),1,""))</f>
        <v/>
      </c>
      <c r="AT32" s="10">
        <f>IF(OR($C32="",$D32=""),"",IF(AND(DATE($B$1,1,1)+(42-1)*7&lt;=$D32,DATE($B$1,1,1)+42*7-1&gt;=$C32),1,""))</f>
        <v/>
      </c>
      <c r="AU32" s="10">
        <f>IF(OR($C32="",$D32=""),"",IF(AND(DATE($B$1,1,1)+(43-1)*7&lt;=$D32,DATE($B$1,1,1)+43*7-1&gt;=$C32),1,""))</f>
        <v/>
      </c>
      <c r="AV32" s="10">
        <f>IF(OR($C32="",$D32=""),"",IF(AND(DATE($B$1,1,1)+(44-1)*7&lt;=$D32,DATE($B$1,1,1)+44*7-1&gt;=$C32),1,""))</f>
        <v/>
      </c>
      <c r="AW32" s="10">
        <f>IF(OR($C32="",$D32=""),"",IF(AND(DATE($B$1,1,1)+(45-1)*7&lt;=$D32,DATE($B$1,1,1)+45*7-1&gt;=$C32),1,""))</f>
        <v/>
      </c>
      <c r="AX32" s="10">
        <f>IF(OR($C32="",$D32=""),"",IF(AND(DATE($B$1,1,1)+(46-1)*7&lt;=$D32,DATE($B$1,1,1)+46*7-1&gt;=$C32),1,""))</f>
        <v/>
      </c>
      <c r="AY32" s="10">
        <f>IF(OR($C32="",$D32=""),"",IF(AND(DATE($B$1,1,1)+(47-1)*7&lt;=$D32,DATE($B$1,1,1)+47*7-1&gt;=$C32),1,""))</f>
        <v/>
      </c>
      <c r="AZ32" s="10">
        <f>IF(OR($C32="",$D32=""),"",IF(AND(DATE($B$1,1,1)+(48-1)*7&lt;=$D32,DATE($B$1,1,1)+48*7-1&gt;=$C32),1,""))</f>
        <v/>
      </c>
      <c r="BA32" s="10">
        <f>IF(OR($C32="",$D32=""),"",IF(AND(DATE($B$1,1,1)+(49-1)*7&lt;=$D32,DATE($B$1,1,1)+49*7-1&gt;=$C32),1,""))</f>
        <v/>
      </c>
      <c r="BB32" s="10">
        <f>IF(OR($C32="",$D32=""),"",IF(AND(DATE($B$1,1,1)+(50-1)*7&lt;=$D32,DATE($B$1,1,1)+50*7-1&gt;=$C32),1,""))</f>
        <v/>
      </c>
      <c r="BC32" s="10">
        <f>IF(OR($C32="",$D32=""),"",IF(AND(DATE($B$1,1,1)+(51-1)*7&lt;=$D32,DATE($B$1,1,1)+51*7-1&gt;=$C32),1,""))</f>
        <v/>
      </c>
      <c r="BD32" s="10">
        <f>IF(OR($C32="",$D32=""),"",IF(AND(DATE($B$1,1,1)+(52-1)*7&lt;=$D32,DATE($B$1,1,1)+52*7-1&gt;=$C32),1,""))</f>
        <v/>
      </c>
      <c r="BE32" s="10">
        <f>IF(OR($C32="",$D32=""),"",IF(AND(DATE($B$1,1,1)+(53-1)*7&lt;=$D32,DATE($B$1,1,1)+53*7-1&gt;=$C32),1,""))</f>
        <v/>
      </c>
      <c r="BF32" s="10">
        <f>IF(OR($C32="",$D32=""),"",IF(AND(DATE($B$1,1,1)+(54-1)*7&lt;=$D32,DATE($B$1,1,1)+54*7-1&gt;=$C32),1,""))</f>
        <v/>
      </c>
    </row>
    <row r="33">
      <c r="A33" s="6" t="n"/>
      <c r="B33" s="6" t="n"/>
      <c r="C33" s="11" t="n"/>
      <c r="D33" s="11" t="n"/>
      <c r="E33" s="10">
        <f>IF(OR($C33="",$D33=""),"",IF(AND(DATE($B$1,1,1)+(1-1)*7&lt;=$D33,DATE($B$1,1,1)+1*7-1&gt;=$C33),1,""))</f>
        <v/>
      </c>
      <c r="F33" s="10">
        <f>IF(OR($C33="",$D33=""),"",IF(AND(DATE($B$1,1,1)+(2-1)*7&lt;=$D33,DATE($B$1,1,1)+2*7-1&gt;=$C33),1,""))</f>
        <v/>
      </c>
      <c r="G33" s="10">
        <f>IF(OR($C33="",$D33=""),"",IF(AND(DATE($B$1,1,1)+(3-1)*7&lt;=$D33,DATE($B$1,1,1)+3*7-1&gt;=$C33),1,""))</f>
        <v/>
      </c>
      <c r="H33" s="10">
        <f>IF(OR($C33="",$D33=""),"",IF(AND(DATE($B$1,1,1)+(4-1)*7&lt;=$D33,DATE($B$1,1,1)+4*7-1&gt;=$C33),1,""))</f>
        <v/>
      </c>
      <c r="I33" s="10">
        <f>IF(OR($C33="",$D33=""),"",IF(AND(DATE($B$1,1,1)+(5-1)*7&lt;=$D33,DATE($B$1,1,1)+5*7-1&gt;=$C33),1,""))</f>
        <v/>
      </c>
      <c r="J33" s="10">
        <f>IF(OR($C33="",$D33=""),"",IF(AND(DATE($B$1,1,1)+(6-1)*7&lt;=$D33,DATE($B$1,1,1)+6*7-1&gt;=$C33),1,""))</f>
        <v/>
      </c>
      <c r="K33" s="10">
        <f>IF(OR($C33="",$D33=""),"",IF(AND(DATE($B$1,1,1)+(7-1)*7&lt;=$D33,DATE($B$1,1,1)+7*7-1&gt;=$C33),1,""))</f>
        <v/>
      </c>
      <c r="L33" s="10">
        <f>IF(OR($C33="",$D33=""),"",IF(AND(DATE($B$1,1,1)+(8-1)*7&lt;=$D33,DATE($B$1,1,1)+8*7-1&gt;=$C33),1,""))</f>
        <v/>
      </c>
      <c r="M33" s="10">
        <f>IF(OR($C33="",$D33=""),"",IF(AND(DATE($B$1,1,1)+(9-1)*7&lt;=$D33,DATE($B$1,1,1)+9*7-1&gt;=$C33),1,""))</f>
        <v/>
      </c>
      <c r="N33" s="10">
        <f>IF(OR($C33="",$D33=""),"",IF(AND(DATE($B$1,1,1)+(10-1)*7&lt;=$D33,DATE($B$1,1,1)+10*7-1&gt;=$C33),1,""))</f>
        <v/>
      </c>
      <c r="O33" s="10">
        <f>IF(OR($C33="",$D33=""),"",IF(AND(DATE($B$1,1,1)+(11-1)*7&lt;=$D33,DATE($B$1,1,1)+11*7-1&gt;=$C33),1,""))</f>
        <v/>
      </c>
      <c r="P33" s="10">
        <f>IF(OR($C33="",$D33=""),"",IF(AND(DATE($B$1,1,1)+(12-1)*7&lt;=$D33,DATE($B$1,1,1)+12*7-1&gt;=$C33),1,""))</f>
        <v/>
      </c>
      <c r="Q33" s="10">
        <f>IF(OR($C33="",$D33=""),"",IF(AND(DATE($B$1,1,1)+(13-1)*7&lt;=$D33,DATE($B$1,1,1)+13*7-1&gt;=$C33),1,""))</f>
        <v/>
      </c>
      <c r="R33" s="10">
        <f>IF(OR($C33="",$D33=""),"",IF(AND(DATE($B$1,1,1)+(14-1)*7&lt;=$D33,DATE($B$1,1,1)+14*7-1&gt;=$C33),1,""))</f>
        <v/>
      </c>
      <c r="S33" s="10">
        <f>IF(OR($C33="",$D33=""),"",IF(AND(DATE($B$1,1,1)+(15-1)*7&lt;=$D33,DATE($B$1,1,1)+15*7-1&gt;=$C33),1,""))</f>
        <v/>
      </c>
      <c r="T33" s="10">
        <f>IF(OR($C33="",$D33=""),"",IF(AND(DATE($B$1,1,1)+(16-1)*7&lt;=$D33,DATE($B$1,1,1)+16*7-1&gt;=$C33),1,""))</f>
        <v/>
      </c>
      <c r="U33" s="10">
        <f>IF(OR($C33="",$D33=""),"",IF(AND(DATE($B$1,1,1)+(17-1)*7&lt;=$D33,DATE($B$1,1,1)+17*7-1&gt;=$C33),1,""))</f>
        <v/>
      </c>
      <c r="V33" s="10">
        <f>IF(OR($C33="",$D33=""),"",IF(AND(DATE($B$1,1,1)+(18-1)*7&lt;=$D33,DATE($B$1,1,1)+18*7-1&gt;=$C33),1,""))</f>
        <v/>
      </c>
      <c r="W33" s="10">
        <f>IF(OR($C33="",$D33=""),"",IF(AND(DATE($B$1,1,1)+(19-1)*7&lt;=$D33,DATE($B$1,1,1)+19*7-1&gt;=$C33),1,""))</f>
        <v/>
      </c>
      <c r="X33" s="10">
        <f>IF(OR($C33="",$D33=""),"",IF(AND(DATE($B$1,1,1)+(20-1)*7&lt;=$D33,DATE($B$1,1,1)+20*7-1&gt;=$C33),1,""))</f>
        <v/>
      </c>
      <c r="Y33" s="10">
        <f>IF(OR($C33="",$D33=""),"",IF(AND(DATE($B$1,1,1)+(21-1)*7&lt;=$D33,DATE($B$1,1,1)+21*7-1&gt;=$C33),1,""))</f>
        <v/>
      </c>
      <c r="Z33" s="10">
        <f>IF(OR($C33="",$D33=""),"",IF(AND(DATE($B$1,1,1)+(22-1)*7&lt;=$D33,DATE($B$1,1,1)+22*7-1&gt;=$C33),1,""))</f>
        <v/>
      </c>
      <c r="AA33" s="10">
        <f>IF(OR($C33="",$D33=""),"",IF(AND(DATE($B$1,1,1)+(23-1)*7&lt;=$D33,DATE($B$1,1,1)+23*7-1&gt;=$C33),1,""))</f>
        <v/>
      </c>
      <c r="AB33" s="10">
        <f>IF(OR($C33="",$D33=""),"",IF(AND(DATE($B$1,1,1)+(24-1)*7&lt;=$D33,DATE($B$1,1,1)+24*7-1&gt;=$C33),1,""))</f>
        <v/>
      </c>
      <c r="AC33" s="10">
        <f>IF(OR($C33="",$D33=""),"",IF(AND(DATE($B$1,1,1)+(25-1)*7&lt;=$D33,DATE($B$1,1,1)+25*7-1&gt;=$C33),1,""))</f>
        <v/>
      </c>
      <c r="AD33" s="10">
        <f>IF(OR($C33="",$D33=""),"",IF(AND(DATE($B$1,1,1)+(26-1)*7&lt;=$D33,DATE($B$1,1,1)+26*7-1&gt;=$C33),1,""))</f>
        <v/>
      </c>
      <c r="AE33" s="10">
        <f>IF(OR($C33="",$D33=""),"",IF(AND(DATE($B$1,1,1)+(27-1)*7&lt;=$D33,DATE($B$1,1,1)+27*7-1&gt;=$C33),1,""))</f>
        <v/>
      </c>
      <c r="AF33" s="10">
        <f>IF(OR($C33="",$D33=""),"",IF(AND(DATE($B$1,1,1)+(28-1)*7&lt;=$D33,DATE($B$1,1,1)+28*7-1&gt;=$C33),1,""))</f>
        <v/>
      </c>
      <c r="AG33" s="10">
        <f>IF(OR($C33="",$D33=""),"",IF(AND(DATE($B$1,1,1)+(29-1)*7&lt;=$D33,DATE($B$1,1,1)+29*7-1&gt;=$C33),1,""))</f>
        <v/>
      </c>
      <c r="AH33" s="10">
        <f>IF(OR($C33="",$D33=""),"",IF(AND(DATE($B$1,1,1)+(30-1)*7&lt;=$D33,DATE($B$1,1,1)+30*7-1&gt;=$C33),1,""))</f>
        <v/>
      </c>
      <c r="AI33" s="10">
        <f>IF(OR($C33="",$D33=""),"",IF(AND(DATE($B$1,1,1)+(31-1)*7&lt;=$D33,DATE($B$1,1,1)+31*7-1&gt;=$C33),1,""))</f>
        <v/>
      </c>
      <c r="AJ33" s="10">
        <f>IF(OR($C33="",$D33=""),"",IF(AND(DATE($B$1,1,1)+(32-1)*7&lt;=$D33,DATE($B$1,1,1)+32*7-1&gt;=$C33),1,""))</f>
        <v/>
      </c>
      <c r="AK33" s="10">
        <f>IF(OR($C33="",$D33=""),"",IF(AND(DATE($B$1,1,1)+(33-1)*7&lt;=$D33,DATE($B$1,1,1)+33*7-1&gt;=$C33),1,""))</f>
        <v/>
      </c>
      <c r="AL33" s="10">
        <f>IF(OR($C33="",$D33=""),"",IF(AND(DATE($B$1,1,1)+(34-1)*7&lt;=$D33,DATE($B$1,1,1)+34*7-1&gt;=$C33),1,""))</f>
        <v/>
      </c>
      <c r="AM33" s="10">
        <f>IF(OR($C33="",$D33=""),"",IF(AND(DATE($B$1,1,1)+(35-1)*7&lt;=$D33,DATE($B$1,1,1)+35*7-1&gt;=$C33),1,""))</f>
        <v/>
      </c>
      <c r="AN33" s="10">
        <f>IF(OR($C33="",$D33=""),"",IF(AND(DATE($B$1,1,1)+(36-1)*7&lt;=$D33,DATE($B$1,1,1)+36*7-1&gt;=$C33),1,""))</f>
        <v/>
      </c>
      <c r="AO33" s="10">
        <f>IF(OR($C33="",$D33=""),"",IF(AND(DATE($B$1,1,1)+(37-1)*7&lt;=$D33,DATE($B$1,1,1)+37*7-1&gt;=$C33),1,""))</f>
        <v/>
      </c>
      <c r="AP33" s="10">
        <f>IF(OR($C33="",$D33=""),"",IF(AND(DATE($B$1,1,1)+(38-1)*7&lt;=$D33,DATE($B$1,1,1)+38*7-1&gt;=$C33),1,""))</f>
        <v/>
      </c>
      <c r="AQ33" s="10">
        <f>IF(OR($C33="",$D33=""),"",IF(AND(DATE($B$1,1,1)+(39-1)*7&lt;=$D33,DATE($B$1,1,1)+39*7-1&gt;=$C33),1,""))</f>
        <v/>
      </c>
      <c r="AR33" s="10">
        <f>IF(OR($C33="",$D33=""),"",IF(AND(DATE($B$1,1,1)+(40-1)*7&lt;=$D33,DATE($B$1,1,1)+40*7-1&gt;=$C33),1,""))</f>
        <v/>
      </c>
      <c r="AS33" s="10">
        <f>IF(OR($C33="",$D33=""),"",IF(AND(DATE($B$1,1,1)+(41-1)*7&lt;=$D33,DATE($B$1,1,1)+41*7-1&gt;=$C33),1,""))</f>
        <v/>
      </c>
      <c r="AT33" s="10">
        <f>IF(OR($C33="",$D33=""),"",IF(AND(DATE($B$1,1,1)+(42-1)*7&lt;=$D33,DATE($B$1,1,1)+42*7-1&gt;=$C33),1,""))</f>
        <v/>
      </c>
      <c r="AU33" s="10">
        <f>IF(OR($C33="",$D33=""),"",IF(AND(DATE($B$1,1,1)+(43-1)*7&lt;=$D33,DATE($B$1,1,1)+43*7-1&gt;=$C33),1,""))</f>
        <v/>
      </c>
      <c r="AV33" s="10">
        <f>IF(OR($C33="",$D33=""),"",IF(AND(DATE($B$1,1,1)+(44-1)*7&lt;=$D33,DATE($B$1,1,1)+44*7-1&gt;=$C33),1,""))</f>
        <v/>
      </c>
      <c r="AW33" s="10">
        <f>IF(OR($C33="",$D33=""),"",IF(AND(DATE($B$1,1,1)+(45-1)*7&lt;=$D33,DATE($B$1,1,1)+45*7-1&gt;=$C33),1,""))</f>
        <v/>
      </c>
      <c r="AX33" s="10">
        <f>IF(OR($C33="",$D33=""),"",IF(AND(DATE($B$1,1,1)+(46-1)*7&lt;=$D33,DATE($B$1,1,1)+46*7-1&gt;=$C33),1,""))</f>
        <v/>
      </c>
      <c r="AY33" s="10">
        <f>IF(OR($C33="",$D33=""),"",IF(AND(DATE($B$1,1,1)+(47-1)*7&lt;=$D33,DATE($B$1,1,1)+47*7-1&gt;=$C33),1,""))</f>
        <v/>
      </c>
      <c r="AZ33" s="10">
        <f>IF(OR($C33="",$D33=""),"",IF(AND(DATE($B$1,1,1)+(48-1)*7&lt;=$D33,DATE($B$1,1,1)+48*7-1&gt;=$C33),1,""))</f>
        <v/>
      </c>
      <c r="BA33" s="10">
        <f>IF(OR($C33="",$D33=""),"",IF(AND(DATE($B$1,1,1)+(49-1)*7&lt;=$D33,DATE($B$1,1,1)+49*7-1&gt;=$C33),1,""))</f>
        <v/>
      </c>
      <c r="BB33" s="10">
        <f>IF(OR($C33="",$D33=""),"",IF(AND(DATE($B$1,1,1)+(50-1)*7&lt;=$D33,DATE($B$1,1,1)+50*7-1&gt;=$C33),1,""))</f>
        <v/>
      </c>
      <c r="BC33" s="10">
        <f>IF(OR($C33="",$D33=""),"",IF(AND(DATE($B$1,1,1)+(51-1)*7&lt;=$D33,DATE($B$1,1,1)+51*7-1&gt;=$C33),1,""))</f>
        <v/>
      </c>
      <c r="BD33" s="10">
        <f>IF(OR($C33="",$D33=""),"",IF(AND(DATE($B$1,1,1)+(52-1)*7&lt;=$D33,DATE($B$1,1,1)+52*7-1&gt;=$C33),1,""))</f>
        <v/>
      </c>
      <c r="BE33" s="10">
        <f>IF(OR($C33="",$D33=""),"",IF(AND(DATE($B$1,1,1)+(53-1)*7&lt;=$D33,DATE($B$1,1,1)+53*7-1&gt;=$C33),1,""))</f>
        <v/>
      </c>
      <c r="BF33" s="10">
        <f>IF(OR($C33="",$D33=""),"",IF(AND(DATE($B$1,1,1)+(54-1)*7&lt;=$D33,DATE($B$1,1,1)+54*7-1&gt;=$C33),1,""))</f>
        <v/>
      </c>
    </row>
    <row r="34">
      <c r="A34" s="6" t="n"/>
      <c r="B34" s="6" t="n"/>
      <c r="C34" s="11" t="n"/>
      <c r="D34" s="11" t="n"/>
      <c r="E34" s="10">
        <f>IF(OR($C34="",$D34=""),"",IF(AND(DATE($B$1,1,1)+(1-1)*7&lt;=$D34,DATE($B$1,1,1)+1*7-1&gt;=$C34),1,""))</f>
        <v/>
      </c>
      <c r="F34" s="10">
        <f>IF(OR($C34="",$D34=""),"",IF(AND(DATE($B$1,1,1)+(2-1)*7&lt;=$D34,DATE($B$1,1,1)+2*7-1&gt;=$C34),1,""))</f>
        <v/>
      </c>
      <c r="G34" s="10">
        <f>IF(OR($C34="",$D34=""),"",IF(AND(DATE($B$1,1,1)+(3-1)*7&lt;=$D34,DATE($B$1,1,1)+3*7-1&gt;=$C34),1,""))</f>
        <v/>
      </c>
      <c r="H34" s="10">
        <f>IF(OR($C34="",$D34=""),"",IF(AND(DATE($B$1,1,1)+(4-1)*7&lt;=$D34,DATE($B$1,1,1)+4*7-1&gt;=$C34),1,""))</f>
        <v/>
      </c>
      <c r="I34" s="10">
        <f>IF(OR($C34="",$D34=""),"",IF(AND(DATE($B$1,1,1)+(5-1)*7&lt;=$D34,DATE($B$1,1,1)+5*7-1&gt;=$C34),1,""))</f>
        <v/>
      </c>
      <c r="J34" s="10">
        <f>IF(OR($C34="",$D34=""),"",IF(AND(DATE($B$1,1,1)+(6-1)*7&lt;=$D34,DATE($B$1,1,1)+6*7-1&gt;=$C34),1,""))</f>
        <v/>
      </c>
      <c r="K34" s="10">
        <f>IF(OR($C34="",$D34=""),"",IF(AND(DATE($B$1,1,1)+(7-1)*7&lt;=$D34,DATE($B$1,1,1)+7*7-1&gt;=$C34),1,""))</f>
        <v/>
      </c>
      <c r="L34" s="10">
        <f>IF(OR($C34="",$D34=""),"",IF(AND(DATE($B$1,1,1)+(8-1)*7&lt;=$D34,DATE($B$1,1,1)+8*7-1&gt;=$C34),1,""))</f>
        <v/>
      </c>
      <c r="M34" s="10">
        <f>IF(OR($C34="",$D34=""),"",IF(AND(DATE($B$1,1,1)+(9-1)*7&lt;=$D34,DATE($B$1,1,1)+9*7-1&gt;=$C34),1,""))</f>
        <v/>
      </c>
      <c r="N34" s="10">
        <f>IF(OR($C34="",$D34=""),"",IF(AND(DATE($B$1,1,1)+(10-1)*7&lt;=$D34,DATE($B$1,1,1)+10*7-1&gt;=$C34),1,""))</f>
        <v/>
      </c>
      <c r="O34" s="10">
        <f>IF(OR($C34="",$D34=""),"",IF(AND(DATE($B$1,1,1)+(11-1)*7&lt;=$D34,DATE($B$1,1,1)+11*7-1&gt;=$C34),1,""))</f>
        <v/>
      </c>
      <c r="P34" s="10">
        <f>IF(OR($C34="",$D34=""),"",IF(AND(DATE($B$1,1,1)+(12-1)*7&lt;=$D34,DATE($B$1,1,1)+12*7-1&gt;=$C34),1,""))</f>
        <v/>
      </c>
      <c r="Q34" s="10">
        <f>IF(OR($C34="",$D34=""),"",IF(AND(DATE($B$1,1,1)+(13-1)*7&lt;=$D34,DATE($B$1,1,1)+13*7-1&gt;=$C34),1,""))</f>
        <v/>
      </c>
      <c r="R34" s="10">
        <f>IF(OR($C34="",$D34=""),"",IF(AND(DATE($B$1,1,1)+(14-1)*7&lt;=$D34,DATE($B$1,1,1)+14*7-1&gt;=$C34),1,""))</f>
        <v/>
      </c>
      <c r="S34" s="10">
        <f>IF(OR($C34="",$D34=""),"",IF(AND(DATE($B$1,1,1)+(15-1)*7&lt;=$D34,DATE($B$1,1,1)+15*7-1&gt;=$C34),1,""))</f>
        <v/>
      </c>
      <c r="T34" s="10">
        <f>IF(OR($C34="",$D34=""),"",IF(AND(DATE($B$1,1,1)+(16-1)*7&lt;=$D34,DATE($B$1,1,1)+16*7-1&gt;=$C34),1,""))</f>
        <v/>
      </c>
      <c r="U34" s="10">
        <f>IF(OR($C34="",$D34=""),"",IF(AND(DATE($B$1,1,1)+(17-1)*7&lt;=$D34,DATE($B$1,1,1)+17*7-1&gt;=$C34),1,""))</f>
        <v/>
      </c>
      <c r="V34" s="10">
        <f>IF(OR($C34="",$D34=""),"",IF(AND(DATE($B$1,1,1)+(18-1)*7&lt;=$D34,DATE($B$1,1,1)+18*7-1&gt;=$C34),1,""))</f>
        <v/>
      </c>
      <c r="W34" s="10">
        <f>IF(OR($C34="",$D34=""),"",IF(AND(DATE($B$1,1,1)+(19-1)*7&lt;=$D34,DATE($B$1,1,1)+19*7-1&gt;=$C34),1,""))</f>
        <v/>
      </c>
      <c r="X34" s="10">
        <f>IF(OR($C34="",$D34=""),"",IF(AND(DATE($B$1,1,1)+(20-1)*7&lt;=$D34,DATE($B$1,1,1)+20*7-1&gt;=$C34),1,""))</f>
        <v/>
      </c>
      <c r="Y34" s="10">
        <f>IF(OR($C34="",$D34=""),"",IF(AND(DATE($B$1,1,1)+(21-1)*7&lt;=$D34,DATE($B$1,1,1)+21*7-1&gt;=$C34),1,""))</f>
        <v/>
      </c>
      <c r="Z34" s="10">
        <f>IF(OR($C34="",$D34=""),"",IF(AND(DATE($B$1,1,1)+(22-1)*7&lt;=$D34,DATE($B$1,1,1)+22*7-1&gt;=$C34),1,""))</f>
        <v/>
      </c>
      <c r="AA34" s="10">
        <f>IF(OR($C34="",$D34=""),"",IF(AND(DATE($B$1,1,1)+(23-1)*7&lt;=$D34,DATE($B$1,1,1)+23*7-1&gt;=$C34),1,""))</f>
        <v/>
      </c>
      <c r="AB34" s="10">
        <f>IF(OR($C34="",$D34=""),"",IF(AND(DATE($B$1,1,1)+(24-1)*7&lt;=$D34,DATE($B$1,1,1)+24*7-1&gt;=$C34),1,""))</f>
        <v/>
      </c>
      <c r="AC34" s="10">
        <f>IF(OR($C34="",$D34=""),"",IF(AND(DATE($B$1,1,1)+(25-1)*7&lt;=$D34,DATE($B$1,1,1)+25*7-1&gt;=$C34),1,""))</f>
        <v/>
      </c>
      <c r="AD34" s="10">
        <f>IF(OR($C34="",$D34=""),"",IF(AND(DATE($B$1,1,1)+(26-1)*7&lt;=$D34,DATE($B$1,1,1)+26*7-1&gt;=$C34),1,""))</f>
        <v/>
      </c>
      <c r="AE34" s="10">
        <f>IF(OR($C34="",$D34=""),"",IF(AND(DATE($B$1,1,1)+(27-1)*7&lt;=$D34,DATE($B$1,1,1)+27*7-1&gt;=$C34),1,""))</f>
        <v/>
      </c>
      <c r="AF34" s="10">
        <f>IF(OR($C34="",$D34=""),"",IF(AND(DATE($B$1,1,1)+(28-1)*7&lt;=$D34,DATE($B$1,1,1)+28*7-1&gt;=$C34),1,""))</f>
        <v/>
      </c>
      <c r="AG34" s="10">
        <f>IF(OR($C34="",$D34=""),"",IF(AND(DATE($B$1,1,1)+(29-1)*7&lt;=$D34,DATE($B$1,1,1)+29*7-1&gt;=$C34),1,""))</f>
        <v/>
      </c>
      <c r="AH34" s="10">
        <f>IF(OR($C34="",$D34=""),"",IF(AND(DATE($B$1,1,1)+(30-1)*7&lt;=$D34,DATE($B$1,1,1)+30*7-1&gt;=$C34),1,""))</f>
        <v/>
      </c>
      <c r="AI34" s="10">
        <f>IF(OR($C34="",$D34=""),"",IF(AND(DATE($B$1,1,1)+(31-1)*7&lt;=$D34,DATE($B$1,1,1)+31*7-1&gt;=$C34),1,""))</f>
        <v/>
      </c>
      <c r="AJ34" s="10">
        <f>IF(OR($C34="",$D34=""),"",IF(AND(DATE($B$1,1,1)+(32-1)*7&lt;=$D34,DATE($B$1,1,1)+32*7-1&gt;=$C34),1,""))</f>
        <v/>
      </c>
      <c r="AK34" s="10">
        <f>IF(OR($C34="",$D34=""),"",IF(AND(DATE($B$1,1,1)+(33-1)*7&lt;=$D34,DATE($B$1,1,1)+33*7-1&gt;=$C34),1,""))</f>
        <v/>
      </c>
      <c r="AL34" s="10">
        <f>IF(OR($C34="",$D34=""),"",IF(AND(DATE($B$1,1,1)+(34-1)*7&lt;=$D34,DATE($B$1,1,1)+34*7-1&gt;=$C34),1,""))</f>
        <v/>
      </c>
      <c r="AM34" s="10">
        <f>IF(OR($C34="",$D34=""),"",IF(AND(DATE($B$1,1,1)+(35-1)*7&lt;=$D34,DATE($B$1,1,1)+35*7-1&gt;=$C34),1,""))</f>
        <v/>
      </c>
      <c r="AN34" s="10">
        <f>IF(OR($C34="",$D34=""),"",IF(AND(DATE($B$1,1,1)+(36-1)*7&lt;=$D34,DATE($B$1,1,1)+36*7-1&gt;=$C34),1,""))</f>
        <v/>
      </c>
      <c r="AO34" s="10">
        <f>IF(OR($C34="",$D34=""),"",IF(AND(DATE($B$1,1,1)+(37-1)*7&lt;=$D34,DATE($B$1,1,1)+37*7-1&gt;=$C34),1,""))</f>
        <v/>
      </c>
      <c r="AP34" s="10">
        <f>IF(OR($C34="",$D34=""),"",IF(AND(DATE($B$1,1,1)+(38-1)*7&lt;=$D34,DATE($B$1,1,1)+38*7-1&gt;=$C34),1,""))</f>
        <v/>
      </c>
      <c r="AQ34" s="10">
        <f>IF(OR($C34="",$D34=""),"",IF(AND(DATE($B$1,1,1)+(39-1)*7&lt;=$D34,DATE($B$1,1,1)+39*7-1&gt;=$C34),1,""))</f>
        <v/>
      </c>
      <c r="AR34" s="10">
        <f>IF(OR($C34="",$D34=""),"",IF(AND(DATE($B$1,1,1)+(40-1)*7&lt;=$D34,DATE($B$1,1,1)+40*7-1&gt;=$C34),1,""))</f>
        <v/>
      </c>
      <c r="AS34" s="10">
        <f>IF(OR($C34="",$D34=""),"",IF(AND(DATE($B$1,1,1)+(41-1)*7&lt;=$D34,DATE($B$1,1,1)+41*7-1&gt;=$C34),1,""))</f>
        <v/>
      </c>
      <c r="AT34" s="10">
        <f>IF(OR($C34="",$D34=""),"",IF(AND(DATE($B$1,1,1)+(42-1)*7&lt;=$D34,DATE($B$1,1,1)+42*7-1&gt;=$C34),1,""))</f>
        <v/>
      </c>
      <c r="AU34" s="10">
        <f>IF(OR($C34="",$D34=""),"",IF(AND(DATE($B$1,1,1)+(43-1)*7&lt;=$D34,DATE($B$1,1,1)+43*7-1&gt;=$C34),1,""))</f>
        <v/>
      </c>
      <c r="AV34" s="10">
        <f>IF(OR($C34="",$D34=""),"",IF(AND(DATE($B$1,1,1)+(44-1)*7&lt;=$D34,DATE($B$1,1,1)+44*7-1&gt;=$C34),1,""))</f>
        <v/>
      </c>
      <c r="AW34" s="10">
        <f>IF(OR($C34="",$D34=""),"",IF(AND(DATE($B$1,1,1)+(45-1)*7&lt;=$D34,DATE($B$1,1,1)+45*7-1&gt;=$C34),1,""))</f>
        <v/>
      </c>
      <c r="AX34" s="10">
        <f>IF(OR($C34="",$D34=""),"",IF(AND(DATE($B$1,1,1)+(46-1)*7&lt;=$D34,DATE($B$1,1,1)+46*7-1&gt;=$C34),1,""))</f>
        <v/>
      </c>
      <c r="AY34" s="10">
        <f>IF(OR($C34="",$D34=""),"",IF(AND(DATE($B$1,1,1)+(47-1)*7&lt;=$D34,DATE($B$1,1,1)+47*7-1&gt;=$C34),1,""))</f>
        <v/>
      </c>
      <c r="AZ34" s="10">
        <f>IF(OR($C34="",$D34=""),"",IF(AND(DATE($B$1,1,1)+(48-1)*7&lt;=$D34,DATE($B$1,1,1)+48*7-1&gt;=$C34),1,""))</f>
        <v/>
      </c>
      <c r="BA34" s="10">
        <f>IF(OR($C34="",$D34=""),"",IF(AND(DATE($B$1,1,1)+(49-1)*7&lt;=$D34,DATE($B$1,1,1)+49*7-1&gt;=$C34),1,""))</f>
        <v/>
      </c>
      <c r="BB34" s="10">
        <f>IF(OR($C34="",$D34=""),"",IF(AND(DATE($B$1,1,1)+(50-1)*7&lt;=$D34,DATE($B$1,1,1)+50*7-1&gt;=$C34),1,""))</f>
        <v/>
      </c>
      <c r="BC34" s="10">
        <f>IF(OR($C34="",$D34=""),"",IF(AND(DATE($B$1,1,1)+(51-1)*7&lt;=$D34,DATE($B$1,1,1)+51*7-1&gt;=$C34),1,""))</f>
        <v/>
      </c>
      <c r="BD34" s="10">
        <f>IF(OR($C34="",$D34=""),"",IF(AND(DATE($B$1,1,1)+(52-1)*7&lt;=$D34,DATE($B$1,1,1)+52*7-1&gt;=$C34),1,""))</f>
        <v/>
      </c>
      <c r="BE34" s="10">
        <f>IF(OR($C34="",$D34=""),"",IF(AND(DATE($B$1,1,1)+(53-1)*7&lt;=$D34,DATE($B$1,1,1)+53*7-1&gt;=$C34),1,""))</f>
        <v/>
      </c>
      <c r="BF34" s="10">
        <f>IF(OR($C34="",$D34=""),"",IF(AND(DATE($B$1,1,1)+(54-1)*7&lt;=$D34,DATE($B$1,1,1)+54*7-1&gt;=$C34),1,""))</f>
        <v/>
      </c>
    </row>
    <row r="35">
      <c r="A35" s="6" t="n"/>
      <c r="B35" s="6" t="n"/>
      <c r="C35" s="11" t="n"/>
      <c r="D35" s="11" t="n"/>
      <c r="E35" s="10">
        <f>IF(OR($C35="",$D35=""),"",IF(AND(DATE($B$1,1,1)+(1-1)*7&lt;=$D35,DATE($B$1,1,1)+1*7-1&gt;=$C35),1,""))</f>
        <v/>
      </c>
      <c r="F35" s="10">
        <f>IF(OR($C35="",$D35=""),"",IF(AND(DATE($B$1,1,1)+(2-1)*7&lt;=$D35,DATE($B$1,1,1)+2*7-1&gt;=$C35),1,""))</f>
        <v/>
      </c>
      <c r="G35" s="10">
        <f>IF(OR($C35="",$D35=""),"",IF(AND(DATE($B$1,1,1)+(3-1)*7&lt;=$D35,DATE($B$1,1,1)+3*7-1&gt;=$C35),1,""))</f>
        <v/>
      </c>
      <c r="H35" s="10">
        <f>IF(OR($C35="",$D35=""),"",IF(AND(DATE($B$1,1,1)+(4-1)*7&lt;=$D35,DATE($B$1,1,1)+4*7-1&gt;=$C35),1,""))</f>
        <v/>
      </c>
      <c r="I35" s="10">
        <f>IF(OR($C35="",$D35=""),"",IF(AND(DATE($B$1,1,1)+(5-1)*7&lt;=$D35,DATE($B$1,1,1)+5*7-1&gt;=$C35),1,""))</f>
        <v/>
      </c>
      <c r="J35" s="10">
        <f>IF(OR($C35="",$D35=""),"",IF(AND(DATE($B$1,1,1)+(6-1)*7&lt;=$D35,DATE($B$1,1,1)+6*7-1&gt;=$C35),1,""))</f>
        <v/>
      </c>
      <c r="K35" s="10">
        <f>IF(OR($C35="",$D35=""),"",IF(AND(DATE($B$1,1,1)+(7-1)*7&lt;=$D35,DATE($B$1,1,1)+7*7-1&gt;=$C35),1,""))</f>
        <v/>
      </c>
      <c r="L35" s="10">
        <f>IF(OR($C35="",$D35=""),"",IF(AND(DATE($B$1,1,1)+(8-1)*7&lt;=$D35,DATE($B$1,1,1)+8*7-1&gt;=$C35),1,""))</f>
        <v/>
      </c>
      <c r="M35" s="10">
        <f>IF(OR($C35="",$D35=""),"",IF(AND(DATE($B$1,1,1)+(9-1)*7&lt;=$D35,DATE($B$1,1,1)+9*7-1&gt;=$C35),1,""))</f>
        <v/>
      </c>
      <c r="N35" s="10">
        <f>IF(OR($C35="",$D35=""),"",IF(AND(DATE($B$1,1,1)+(10-1)*7&lt;=$D35,DATE($B$1,1,1)+10*7-1&gt;=$C35),1,""))</f>
        <v/>
      </c>
      <c r="O35" s="10">
        <f>IF(OR($C35="",$D35=""),"",IF(AND(DATE($B$1,1,1)+(11-1)*7&lt;=$D35,DATE($B$1,1,1)+11*7-1&gt;=$C35),1,""))</f>
        <v/>
      </c>
      <c r="P35" s="10">
        <f>IF(OR($C35="",$D35=""),"",IF(AND(DATE($B$1,1,1)+(12-1)*7&lt;=$D35,DATE($B$1,1,1)+12*7-1&gt;=$C35),1,""))</f>
        <v/>
      </c>
      <c r="Q35" s="10">
        <f>IF(OR($C35="",$D35=""),"",IF(AND(DATE($B$1,1,1)+(13-1)*7&lt;=$D35,DATE($B$1,1,1)+13*7-1&gt;=$C35),1,""))</f>
        <v/>
      </c>
      <c r="R35" s="10">
        <f>IF(OR($C35="",$D35=""),"",IF(AND(DATE($B$1,1,1)+(14-1)*7&lt;=$D35,DATE($B$1,1,1)+14*7-1&gt;=$C35),1,""))</f>
        <v/>
      </c>
      <c r="S35" s="10">
        <f>IF(OR($C35="",$D35=""),"",IF(AND(DATE($B$1,1,1)+(15-1)*7&lt;=$D35,DATE($B$1,1,1)+15*7-1&gt;=$C35),1,""))</f>
        <v/>
      </c>
      <c r="T35" s="10">
        <f>IF(OR($C35="",$D35=""),"",IF(AND(DATE($B$1,1,1)+(16-1)*7&lt;=$D35,DATE($B$1,1,1)+16*7-1&gt;=$C35),1,""))</f>
        <v/>
      </c>
      <c r="U35" s="10">
        <f>IF(OR($C35="",$D35=""),"",IF(AND(DATE($B$1,1,1)+(17-1)*7&lt;=$D35,DATE($B$1,1,1)+17*7-1&gt;=$C35),1,""))</f>
        <v/>
      </c>
      <c r="V35" s="10">
        <f>IF(OR($C35="",$D35=""),"",IF(AND(DATE($B$1,1,1)+(18-1)*7&lt;=$D35,DATE($B$1,1,1)+18*7-1&gt;=$C35),1,""))</f>
        <v/>
      </c>
      <c r="W35" s="10">
        <f>IF(OR($C35="",$D35=""),"",IF(AND(DATE($B$1,1,1)+(19-1)*7&lt;=$D35,DATE($B$1,1,1)+19*7-1&gt;=$C35),1,""))</f>
        <v/>
      </c>
      <c r="X35" s="10">
        <f>IF(OR($C35="",$D35=""),"",IF(AND(DATE($B$1,1,1)+(20-1)*7&lt;=$D35,DATE($B$1,1,1)+20*7-1&gt;=$C35),1,""))</f>
        <v/>
      </c>
      <c r="Y35" s="10">
        <f>IF(OR($C35="",$D35=""),"",IF(AND(DATE($B$1,1,1)+(21-1)*7&lt;=$D35,DATE($B$1,1,1)+21*7-1&gt;=$C35),1,""))</f>
        <v/>
      </c>
      <c r="Z35" s="10">
        <f>IF(OR($C35="",$D35=""),"",IF(AND(DATE($B$1,1,1)+(22-1)*7&lt;=$D35,DATE($B$1,1,1)+22*7-1&gt;=$C35),1,""))</f>
        <v/>
      </c>
      <c r="AA35" s="10">
        <f>IF(OR($C35="",$D35=""),"",IF(AND(DATE($B$1,1,1)+(23-1)*7&lt;=$D35,DATE($B$1,1,1)+23*7-1&gt;=$C35),1,""))</f>
        <v/>
      </c>
      <c r="AB35" s="10">
        <f>IF(OR($C35="",$D35=""),"",IF(AND(DATE($B$1,1,1)+(24-1)*7&lt;=$D35,DATE($B$1,1,1)+24*7-1&gt;=$C35),1,""))</f>
        <v/>
      </c>
      <c r="AC35" s="10">
        <f>IF(OR($C35="",$D35=""),"",IF(AND(DATE($B$1,1,1)+(25-1)*7&lt;=$D35,DATE($B$1,1,1)+25*7-1&gt;=$C35),1,""))</f>
        <v/>
      </c>
      <c r="AD35" s="10">
        <f>IF(OR($C35="",$D35=""),"",IF(AND(DATE($B$1,1,1)+(26-1)*7&lt;=$D35,DATE($B$1,1,1)+26*7-1&gt;=$C35),1,""))</f>
        <v/>
      </c>
      <c r="AE35" s="10">
        <f>IF(OR($C35="",$D35=""),"",IF(AND(DATE($B$1,1,1)+(27-1)*7&lt;=$D35,DATE($B$1,1,1)+27*7-1&gt;=$C35),1,""))</f>
        <v/>
      </c>
      <c r="AF35" s="10">
        <f>IF(OR($C35="",$D35=""),"",IF(AND(DATE($B$1,1,1)+(28-1)*7&lt;=$D35,DATE($B$1,1,1)+28*7-1&gt;=$C35),1,""))</f>
        <v/>
      </c>
      <c r="AG35" s="10">
        <f>IF(OR($C35="",$D35=""),"",IF(AND(DATE($B$1,1,1)+(29-1)*7&lt;=$D35,DATE($B$1,1,1)+29*7-1&gt;=$C35),1,""))</f>
        <v/>
      </c>
      <c r="AH35" s="10">
        <f>IF(OR($C35="",$D35=""),"",IF(AND(DATE($B$1,1,1)+(30-1)*7&lt;=$D35,DATE($B$1,1,1)+30*7-1&gt;=$C35),1,""))</f>
        <v/>
      </c>
      <c r="AI35" s="10">
        <f>IF(OR($C35="",$D35=""),"",IF(AND(DATE($B$1,1,1)+(31-1)*7&lt;=$D35,DATE($B$1,1,1)+31*7-1&gt;=$C35),1,""))</f>
        <v/>
      </c>
      <c r="AJ35" s="10">
        <f>IF(OR($C35="",$D35=""),"",IF(AND(DATE($B$1,1,1)+(32-1)*7&lt;=$D35,DATE($B$1,1,1)+32*7-1&gt;=$C35),1,""))</f>
        <v/>
      </c>
      <c r="AK35" s="10">
        <f>IF(OR($C35="",$D35=""),"",IF(AND(DATE($B$1,1,1)+(33-1)*7&lt;=$D35,DATE($B$1,1,1)+33*7-1&gt;=$C35),1,""))</f>
        <v/>
      </c>
      <c r="AL35" s="10">
        <f>IF(OR($C35="",$D35=""),"",IF(AND(DATE($B$1,1,1)+(34-1)*7&lt;=$D35,DATE($B$1,1,1)+34*7-1&gt;=$C35),1,""))</f>
        <v/>
      </c>
      <c r="AM35" s="10">
        <f>IF(OR($C35="",$D35=""),"",IF(AND(DATE($B$1,1,1)+(35-1)*7&lt;=$D35,DATE($B$1,1,1)+35*7-1&gt;=$C35),1,""))</f>
        <v/>
      </c>
      <c r="AN35" s="10">
        <f>IF(OR($C35="",$D35=""),"",IF(AND(DATE($B$1,1,1)+(36-1)*7&lt;=$D35,DATE($B$1,1,1)+36*7-1&gt;=$C35),1,""))</f>
        <v/>
      </c>
      <c r="AO35" s="10">
        <f>IF(OR($C35="",$D35=""),"",IF(AND(DATE($B$1,1,1)+(37-1)*7&lt;=$D35,DATE($B$1,1,1)+37*7-1&gt;=$C35),1,""))</f>
        <v/>
      </c>
      <c r="AP35" s="10">
        <f>IF(OR($C35="",$D35=""),"",IF(AND(DATE($B$1,1,1)+(38-1)*7&lt;=$D35,DATE($B$1,1,1)+38*7-1&gt;=$C35),1,""))</f>
        <v/>
      </c>
      <c r="AQ35" s="10">
        <f>IF(OR($C35="",$D35=""),"",IF(AND(DATE($B$1,1,1)+(39-1)*7&lt;=$D35,DATE($B$1,1,1)+39*7-1&gt;=$C35),1,""))</f>
        <v/>
      </c>
      <c r="AR35" s="10">
        <f>IF(OR($C35="",$D35=""),"",IF(AND(DATE($B$1,1,1)+(40-1)*7&lt;=$D35,DATE($B$1,1,1)+40*7-1&gt;=$C35),1,""))</f>
        <v/>
      </c>
      <c r="AS35" s="10">
        <f>IF(OR($C35="",$D35=""),"",IF(AND(DATE($B$1,1,1)+(41-1)*7&lt;=$D35,DATE($B$1,1,1)+41*7-1&gt;=$C35),1,""))</f>
        <v/>
      </c>
      <c r="AT35" s="10">
        <f>IF(OR($C35="",$D35=""),"",IF(AND(DATE($B$1,1,1)+(42-1)*7&lt;=$D35,DATE($B$1,1,1)+42*7-1&gt;=$C35),1,""))</f>
        <v/>
      </c>
      <c r="AU35" s="10">
        <f>IF(OR($C35="",$D35=""),"",IF(AND(DATE($B$1,1,1)+(43-1)*7&lt;=$D35,DATE($B$1,1,1)+43*7-1&gt;=$C35),1,""))</f>
        <v/>
      </c>
      <c r="AV35" s="10">
        <f>IF(OR($C35="",$D35=""),"",IF(AND(DATE($B$1,1,1)+(44-1)*7&lt;=$D35,DATE($B$1,1,1)+44*7-1&gt;=$C35),1,""))</f>
        <v/>
      </c>
      <c r="AW35" s="10">
        <f>IF(OR($C35="",$D35=""),"",IF(AND(DATE($B$1,1,1)+(45-1)*7&lt;=$D35,DATE($B$1,1,1)+45*7-1&gt;=$C35),1,""))</f>
        <v/>
      </c>
      <c r="AX35" s="10">
        <f>IF(OR($C35="",$D35=""),"",IF(AND(DATE($B$1,1,1)+(46-1)*7&lt;=$D35,DATE($B$1,1,1)+46*7-1&gt;=$C35),1,""))</f>
        <v/>
      </c>
      <c r="AY35" s="10">
        <f>IF(OR($C35="",$D35=""),"",IF(AND(DATE($B$1,1,1)+(47-1)*7&lt;=$D35,DATE($B$1,1,1)+47*7-1&gt;=$C35),1,""))</f>
        <v/>
      </c>
      <c r="AZ35" s="10">
        <f>IF(OR($C35="",$D35=""),"",IF(AND(DATE($B$1,1,1)+(48-1)*7&lt;=$D35,DATE($B$1,1,1)+48*7-1&gt;=$C35),1,""))</f>
        <v/>
      </c>
      <c r="BA35" s="10">
        <f>IF(OR($C35="",$D35=""),"",IF(AND(DATE($B$1,1,1)+(49-1)*7&lt;=$D35,DATE($B$1,1,1)+49*7-1&gt;=$C35),1,""))</f>
        <v/>
      </c>
      <c r="BB35" s="10">
        <f>IF(OR($C35="",$D35=""),"",IF(AND(DATE($B$1,1,1)+(50-1)*7&lt;=$D35,DATE($B$1,1,1)+50*7-1&gt;=$C35),1,""))</f>
        <v/>
      </c>
      <c r="BC35" s="10">
        <f>IF(OR($C35="",$D35=""),"",IF(AND(DATE($B$1,1,1)+(51-1)*7&lt;=$D35,DATE($B$1,1,1)+51*7-1&gt;=$C35),1,""))</f>
        <v/>
      </c>
      <c r="BD35" s="10">
        <f>IF(OR($C35="",$D35=""),"",IF(AND(DATE($B$1,1,1)+(52-1)*7&lt;=$D35,DATE($B$1,1,1)+52*7-1&gt;=$C35),1,""))</f>
        <v/>
      </c>
      <c r="BE35" s="10">
        <f>IF(OR($C35="",$D35=""),"",IF(AND(DATE($B$1,1,1)+(53-1)*7&lt;=$D35,DATE($B$1,1,1)+53*7-1&gt;=$C35),1,""))</f>
        <v/>
      </c>
      <c r="BF35" s="10">
        <f>IF(OR($C35="",$D35=""),"",IF(AND(DATE($B$1,1,1)+(54-1)*7&lt;=$D35,DATE($B$1,1,1)+54*7-1&gt;=$C35),1,""))</f>
        <v/>
      </c>
    </row>
    <row r="36">
      <c r="A36" s="6" t="n"/>
      <c r="B36" s="6" t="n"/>
      <c r="C36" s="11" t="n"/>
      <c r="D36" s="11" t="n"/>
      <c r="E36" s="10">
        <f>IF(OR($C36="",$D36=""),"",IF(AND(DATE($B$1,1,1)+(1-1)*7&lt;=$D36,DATE($B$1,1,1)+1*7-1&gt;=$C36),1,""))</f>
        <v/>
      </c>
      <c r="F36" s="10">
        <f>IF(OR($C36="",$D36=""),"",IF(AND(DATE($B$1,1,1)+(2-1)*7&lt;=$D36,DATE($B$1,1,1)+2*7-1&gt;=$C36),1,""))</f>
        <v/>
      </c>
      <c r="G36" s="10">
        <f>IF(OR($C36="",$D36=""),"",IF(AND(DATE($B$1,1,1)+(3-1)*7&lt;=$D36,DATE($B$1,1,1)+3*7-1&gt;=$C36),1,""))</f>
        <v/>
      </c>
      <c r="H36" s="10">
        <f>IF(OR($C36="",$D36=""),"",IF(AND(DATE($B$1,1,1)+(4-1)*7&lt;=$D36,DATE($B$1,1,1)+4*7-1&gt;=$C36),1,""))</f>
        <v/>
      </c>
      <c r="I36" s="10">
        <f>IF(OR($C36="",$D36=""),"",IF(AND(DATE($B$1,1,1)+(5-1)*7&lt;=$D36,DATE($B$1,1,1)+5*7-1&gt;=$C36),1,""))</f>
        <v/>
      </c>
      <c r="J36" s="10">
        <f>IF(OR($C36="",$D36=""),"",IF(AND(DATE($B$1,1,1)+(6-1)*7&lt;=$D36,DATE($B$1,1,1)+6*7-1&gt;=$C36),1,""))</f>
        <v/>
      </c>
      <c r="K36" s="10">
        <f>IF(OR($C36="",$D36=""),"",IF(AND(DATE($B$1,1,1)+(7-1)*7&lt;=$D36,DATE($B$1,1,1)+7*7-1&gt;=$C36),1,""))</f>
        <v/>
      </c>
      <c r="L36" s="10">
        <f>IF(OR($C36="",$D36=""),"",IF(AND(DATE($B$1,1,1)+(8-1)*7&lt;=$D36,DATE($B$1,1,1)+8*7-1&gt;=$C36),1,""))</f>
        <v/>
      </c>
      <c r="M36" s="10">
        <f>IF(OR($C36="",$D36=""),"",IF(AND(DATE($B$1,1,1)+(9-1)*7&lt;=$D36,DATE($B$1,1,1)+9*7-1&gt;=$C36),1,""))</f>
        <v/>
      </c>
      <c r="N36" s="10">
        <f>IF(OR($C36="",$D36=""),"",IF(AND(DATE($B$1,1,1)+(10-1)*7&lt;=$D36,DATE($B$1,1,1)+10*7-1&gt;=$C36),1,""))</f>
        <v/>
      </c>
      <c r="O36" s="10">
        <f>IF(OR($C36="",$D36=""),"",IF(AND(DATE($B$1,1,1)+(11-1)*7&lt;=$D36,DATE($B$1,1,1)+11*7-1&gt;=$C36),1,""))</f>
        <v/>
      </c>
      <c r="P36" s="10">
        <f>IF(OR($C36="",$D36=""),"",IF(AND(DATE($B$1,1,1)+(12-1)*7&lt;=$D36,DATE($B$1,1,1)+12*7-1&gt;=$C36),1,""))</f>
        <v/>
      </c>
      <c r="Q36" s="10">
        <f>IF(OR($C36="",$D36=""),"",IF(AND(DATE($B$1,1,1)+(13-1)*7&lt;=$D36,DATE($B$1,1,1)+13*7-1&gt;=$C36),1,""))</f>
        <v/>
      </c>
      <c r="R36" s="10">
        <f>IF(OR($C36="",$D36=""),"",IF(AND(DATE($B$1,1,1)+(14-1)*7&lt;=$D36,DATE($B$1,1,1)+14*7-1&gt;=$C36),1,""))</f>
        <v/>
      </c>
      <c r="S36" s="10">
        <f>IF(OR($C36="",$D36=""),"",IF(AND(DATE($B$1,1,1)+(15-1)*7&lt;=$D36,DATE($B$1,1,1)+15*7-1&gt;=$C36),1,""))</f>
        <v/>
      </c>
      <c r="T36" s="10">
        <f>IF(OR($C36="",$D36=""),"",IF(AND(DATE($B$1,1,1)+(16-1)*7&lt;=$D36,DATE($B$1,1,1)+16*7-1&gt;=$C36),1,""))</f>
        <v/>
      </c>
      <c r="U36" s="10">
        <f>IF(OR($C36="",$D36=""),"",IF(AND(DATE($B$1,1,1)+(17-1)*7&lt;=$D36,DATE($B$1,1,1)+17*7-1&gt;=$C36),1,""))</f>
        <v/>
      </c>
      <c r="V36" s="10">
        <f>IF(OR($C36="",$D36=""),"",IF(AND(DATE($B$1,1,1)+(18-1)*7&lt;=$D36,DATE($B$1,1,1)+18*7-1&gt;=$C36),1,""))</f>
        <v/>
      </c>
      <c r="W36" s="10">
        <f>IF(OR($C36="",$D36=""),"",IF(AND(DATE($B$1,1,1)+(19-1)*7&lt;=$D36,DATE($B$1,1,1)+19*7-1&gt;=$C36),1,""))</f>
        <v/>
      </c>
      <c r="X36" s="10">
        <f>IF(OR($C36="",$D36=""),"",IF(AND(DATE($B$1,1,1)+(20-1)*7&lt;=$D36,DATE($B$1,1,1)+20*7-1&gt;=$C36),1,""))</f>
        <v/>
      </c>
      <c r="Y36" s="10">
        <f>IF(OR($C36="",$D36=""),"",IF(AND(DATE($B$1,1,1)+(21-1)*7&lt;=$D36,DATE($B$1,1,1)+21*7-1&gt;=$C36),1,""))</f>
        <v/>
      </c>
      <c r="Z36" s="10">
        <f>IF(OR($C36="",$D36=""),"",IF(AND(DATE($B$1,1,1)+(22-1)*7&lt;=$D36,DATE($B$1,1,1)+22*7-1&gt;=$C36),1,""))</f>
        <v/>
      </c>
      <c r="AA36" s="10">
        <f>IF(OR($C36="",$D36=""),"",IF(AND(DATE($B$1,1,1)+(23-1)*7&lt;=$D36,DATE($B$1,1,1)+23*7-1&gt;=$C36),1,""))</f>
        <v/>
      </c>
      <c r="AB36" s="10">
        <f>IF(OR($C36="",$D36=""),"",IF(AND(DATE($B$1,1,1)+(24-1)*7&lt;=$D36,DATE($B$1,1,1)+24*7-1&gt;=$C36),1,""))</f>
        <v/>
      </c>
      <c r="AC36" s="10">
        <f>IF(OR($C36="",$D36=""),"",IF(AND(DATE($B$1,1,1)+(25-1)*7&lt;=$D36,DATE($B$1,1,1)+25*7-1&gt;=$C36),1,""))</f>
        <v/>
      </c>
      <c r="AD36" s="10">
        <f>IF(OR($C36="",$D36=""),"",IF(AND(DATE($B$1,1,1)+(26-1)*7&lt;=$D36,DATE($B$1,1,1)+26*7-1&gt;=$C36),1,""))</f>
        <v/>
      </c>
      <c r="AE36" s="10">
        <f>IF(OR($C36="",$D36=""),"",IF(AND(DATE($B$1,1,1)+(27-1)*7&lt;=$D36,DATE($B$1,1,1)+27*7-1&gt;=$C36),1,""))</f>
        <v/>
      </c>
      <c r="AF36" s="10">
        <f>IF(OR($C36="",$D36=""),"",IF(AND(DATE($B$1,1,1)+(28-1)*7&lt;=$D36,DATE($B$1,1,1)+28*7-1&gt;=$C36),1,""))</f>
        <v/>
      </c>
      <c r="AG36" s="10">
        <f>IF(OR($C36="",$D36=""),"",IF(AND(DATE($B$1,1,1)+(29-1)*7&lt;=$D36,DATE($B$1,1,1)+29*7-1&gt;=$C36),1,""))</f>
        <v/>
      </c>
      <c r="AH36" s="10">
        <f>IF(OR($C36="",$D36=""),"",IF(AND(DATE($B$1,1,1)+(30-1)*7&lt;=$D36,DATE($B$1,1,1)+30*7-1&gt;=$C36),1,""))</f>
        <v/>
      </c>
      <c r="AI36" s="10">
        <f>IF(OR($C36="",$D36=""),"",IF(AND(DATE($B$1,1,1)+(31-1)*7&lt;=$D36,DATE($B$1,1,1)+31*7-1&gt;=$C36),1,""))</f>
        <v/>
      </c>
      <c r="AJ36" s="10">
        <f>IF(OR($C36="",$D36=""),"",IF(AND(DATE($B$1,1,1)+(32-1)*7&lt;=$D36,DATE($B$1,1,1)+32*7-1&gt;=$C36),1,""))</f>
        <v/>
      </c>
      <c r="AK36" s="10">
        <f>IF(OR($C36="",$D36=""),"",IF(AND(DATE($B$1,1,1)+(33-1)*7&lt;=$D36,DATE($B$1,1,1)+33*7-1&gt;=$C36),1,""))</f>
        <v/>
      </c>
      <c r="AL36" s="10">
        <f>IF(OR($C36="",$D36=""),"",IF(AND(DATE($B$1,1,1)+(34-1)*7&lt;=$D36,DATE($B$1,1,1)+34*7-1&gt;=$C36),1,""))</f>
        <v/>
      </c>
      <c r="AM36" s="10">
        <f>IF(OR($C36="",$D36=""),"",IF(AND(DATE($B$1,1,1)+(35-1)*7&lt;=$D36,DATE($B$1,1,1)+35*7-1&gt;=$C36),1,""))</f>
        <v/>
      </c>
      <c r="AN36" s="10">
        <f>IF(OR($C36="",$D36=""),"",IF(AND(DATE($B$1,1,1)+(36-1)*7&lt;=$D36,DATE($B$1,1,1)+36*7-1&gt;=$C36),1,""))</f>
        <v/>
      </c>
      <c r="AO36" s="10">
        <f>IF(OR($C36="",$D36=""),"",IF(AND(DATE($B$1,1,1)+(37-1)*7&lt;=$D36,DATE($B$1,1,1)+37*7-1&gt;=$C36),1,""))</f>
        <v/>
      </c>
      <c r="AP36" s="10">
        <f>IF(OR($C36="",$D36=""),"",IF(AND(DATE($B$1,1,1)+(38-1)*7&lt;=$D36,DATE($B$1,1,1)+38*7-1&gt;=$C36),1,""))</f>
        <v/>
      </c>
      <c r="AQ36" s="10">
        <f>IF(OR($C36="",$D36=""),"",IF(AND(DATE($B$1,1,1)+(39-1)*7&lt;=$D36,DATE($B$1,1,1)+39*7-1&gt;=$C36),1,""))</f>
        <v/>
      </c>
      <c r="AR36" s="10">
        <f>IF(OR($C36="",$D36=""),"",IF(AND(DATE($B$1,1,1)+(40-1)*7&lt;=$D36,DATE($B$1,1,1)+40*7-1&gt;=$C36),1,""))</f>
        <v/>
      </c>
      <c r="AS36" s="10">
        <f>IF(OR($C36="",$D36=""),"",IF(AND(DATE($B$1,1,1)+(41-1)*7&lt;=$D36,DATE($B$1,1,1)+41*7-1&gt;=$C36),1,""))</f>
        <v/>
      </c>
      <c r="AT36" s="10">
        <f>IF(OR($C36="",$D36=""),"",IF(AND(DATE($B$1,1,1)+(42-1)*7&lt;=$D36,DATE($B$1,1,1)+42*7-1&gt;=$C36),1,""))</f>
        <v/>
      </c>
      <c r="AU36" s="10">
        <f>IF(OR($C36="",$D36=""),"",IF(AND(DATE($B$1,1,1)+(43-1)*7&lt;=$D36,DATE($B$1,1,1)+43*7-1&gt;=$C36),1,""))</f>
        <v/>
      </c>
      <c r="AV36" s="10">
        <f>IF(OR($C36="",$D36=""),"",IF(AND(DATE($B$1,1,1)+(44-1)*7&lt;=$D36,DATE($B$1,1,1)+44*7-1&gt;=$C36),1,""))</f>
        <v/>
      </c>
      <c r="AW36" s="10">
        <f>IF(OR($C36="",$D36=""),"",IF(AND(DATE($B$1,1,1)+(45-1)*7&lt;=$D36,DATE($B$1,1,1)+45*7-1&gt;=$C36),1,""))</f>
        <v/>
      </c>
      <c r="AX36" s="10">
        <f>IF(OR($C36="",$D36=""),"",IF(AND(DATE($B$1,1,1)+(46-1)*7&lt;=$D36,DATE($B$1,1,1)+46*7-1&gt;=$C36),1,""))</f>
        <v/>
      </c>
      <c r="AY36" s="10">
        <f>IF(OR($C36="",$D36=""),"",IF(AND(DATE($B$1,1,1)+(47-1)*7&lt;=$D36,DATE($B$1,1,1)+47*7-1&gt;=$C36),1,""))</f>
        <v/>
      </c>
      <c r="AZ36" s="10">
        <f>IF(OR($C36="",$D36=""),"",IF(AND(DATE($B$1,1,1)+(48-1)*7&lt;=$D36,DATE($B$1,1,1)+48*7-1&gt;=$C36),1,""))</f>
        <v/>
      </c>
      <c r="BA36" s="10">
        <f>IF(OR($C36="",$D36=""),"",IF(AND(DATE($B$1,1,1)+(49-1)*7&lt;=$D36,DATE($B$1,1,1)+49*7-1&gt;=$C36),1,""))</f>
        <v/>
      </c>
      <c r="BB36" s="10">
        <f>IF(OR($C36="",$D36=""),"",IF(AND(DATE($B$1,1,1)+(50-1)*7&lt;=$D36,DATE($B$1,1,1)+50*7-1&gt;=$C36),1,""))</f>
        <v/>
      </c>
      <c r="BC36" s="10">
        <f>IF(OR($C36="",$D36=""),"",IF(AND(DATE($B$1,1,1)+(51-1)*7&lt;=$D36,DATE($B$1,1,1)+51*7-1&gt;=$C36),1,""))</f>
        <v/>
      </c>
      <c r="BD36" s="10">
        <f>IF(OR($C36="",$D36=""),"",IF(AND(DATE($B$1,1,1)+(52-1)*7&lt;=$D36,DATE($B$1,1,1)+52*7-1&gt;=$C36),1,""))</f>
        <v/>
      </c>
      <c r="BE36" s="10">
        <f>IF(OR($C36="",$D36=""),"",IF(AND(DATE($B$1,1,1)+(53-1)*7&lt;=$D36,DATE($B$1,1,1)+53*7-1&gt;=$C36),1,""))</f>
        <v/>
      </c>
      <c r="BF36" s="10">
        <f>IF(OR($C36="",$D36=""),"",IF(AND(DATE($B$1,1,1)+(54-1)*7&lt;=$D36,DATE($B$1,1,1)+54*7-1&gt;=$C36),1,""))</f>
        <v/>
      </c>
    </row>
    <row r="37">
      <c r="A37" s="6" t="n"/>
      <c r="B37" s="6" t="n"/>
      <c r="C37" s="11" t="n"/>
      <c r="D37" s="11" t="n"/>
      <c r="E37" s="10">
        <f>IF(OR($C37="",$D37=""),"",IF(AND(DATE($B$1,1,1)+(1-1)*7&lt;=$D37,DATE($B$1,1,1)+1*7-1&gt;=$C37),1,""))</f>
        <v/>
      </c>
      <c r="F37" s="10">
        <f>IF(OR($C37="",$D37=""),"",IF(AND(DATE($B$1,1,1)+(2-1)*7&lt;=$D37,DATE($B$1,1,1)+2*7-1&gt;=$C37),1,""))</f>
        <v/>
      </c>
      <c r="G37" s="10">
        <f>IF(OR($C37="",$D37=""),"",IF(AND(DATE($B$1,1,1)+(3-1)*7&lt;=$D37,DATE($B$1,1,1)+3*7-1&gt;=$C37),1,""))</f>
        <v/>
      </c>
      <c r="H37" s="10">
        <f>IF(OR($C37="",$D37=""),"",IF(AND(DATE($B$1,1,1)+(4-1)*7&lt;=$D37,DATE($B$1,1,1)+4*7-1&gt;=$C37),1,""))</f>
        <v/>
      </c>
      <c r="I37" s="10">
        <f>IF(OR($C37="",$D37=""),"",IF(AND(DATE($B$1,1,1)+(5-1)*7&lt;=$D37,DATE($B$1,1,1)+5*7-1&gt;=$C37),1,""))</f>
        <v/>
      </c>
      <c r="J37" s="10">
        <f>IF(OR($C37="",$D37=""),"",IF(AND(DATE($B$1,1,1)+(6-1)*7&lt;=$D37,DATE($B$1,1,1)+6*7-1&gt;=$C37),1,""))</f>
        <v/>
      </c>
      <c r="K37" s="10">
        <f>IF(OR($C37="",$D37=""),"",IF(AND(DATE($B$1,1,1)+(7-1)*7&lt;=$D37,DATE($B$1,1,1)+7*7-1&gt;=$C37),1,""))</f>
        <v/>
      </c>
      <c r="L37" s="10">
        <f>IF(OR($C37="",$D37=""),"",IF(AND(DATE($B$1,1,1)+(8-1)*7&lt;=$D37,DATE($B$1,1,1)+8*7-1&gt;=$C37),1,""))</f>
        <v/>
      </c>
      <c r="M37" s="10">
        <f>IF(OR($C37="",$D37=""),"",IF(AND(DATE($B$1,1,1)+(9-1)*7&lt;=$D37,DATE($B$1,1,1)+9*7-1&gt;=$C37),1,""))</f>
        <v/>
      </c>
      <c r="N37" s="10">
        <f>IF(OR($C37="",$D37=""),"",IF(AND(DATE($B$1,1,1)+(10-1)*7&lt;=$D37,DATE($B$1,1,1)+10*7-1&gt;=$C37),1,""))</f>
        <v/>
      </c>
      <c r="O37" s="10">
        <f>IF(OR($C37="",$D37=""),"",IF(AND(DATE($B$1,1,1)+(11-1)*7&lt;=$D37,DATE($B$1,1,1)+11*7-1&gt;=$C37),1,""))</f>
        <v/>
      </c>
      <c r="P37" s="10">
        <f>IF(OR($C37="",$D37=""),"",IF(AND(DATE($B$1,1,1)+(12-1)*7&lt;=$D37,DATE($B$1,1,1)+12*7-1&gt;=$C37),1,""))</f>
        <v/>
      </c>
      <c r="Q37" s="10">
        <f>IF(OR($C37="",$D37=""),"",IF(AND(DATE($B$1,1,1)+(13-1)*7&lt;=$D37,DATE($B$1,1,1)+13*7-1&gt;=$C37),1,""))</f>
        <v/>
      </c>
      <c r="R37" s="10">
        <f>IF(OR($C37="",$D37=""),"",IF(AND(DATE($B$1,1,1)+(14-1)*7&lt;=$D37,DATE($B$1,1,1)+14*7-1&gt;=$C37),1,""))</f>
        <v/>
      </c>
      <c r="S37" s="10">
        <f>IF(OR($C37="",$D37=""),"",IF(AND(DATE($B$1,1,1)+(15-1)*7&lt;=$D37,DATE($B$1,1,1)+15*7-1&gt;=$C37),1,""))</f>
        <v/>
      </c>
      <c r="T37" s="10">
        <f>IF(OR($C37="",$D37=""),"",IF(AND(DATE($B$1,1,1)+(16-1)*7&lt;=$D37,DATE($B$1,1,1)+16*7-1&gt;=$C37),1,""))</f>
        <v/>
      </c>
      <c r="U37" s="10">
        <f>IF(OR($C37="",$D37=""),"",IF(AND(DATE($B$1,1,1)+(17-1)*7&lt;=$D37,DATE($B$1,1,1)+17*7-1&gt;=$C37),1,""))</f>
        <v/>
      </c>
      <c r="V37" s="10">
        <f>IF(OR($C37="",$D37=""),"",IF(AND(DATE($B$1,1,1)+(18-1)*7&lt;=$D37,DATE($B$1,1,1)+18*7-1&gt;=$C37),1,""))</f>
        <v/>
      </c>
      <c r="W37" s="10">
        <f>IF(OR($C37="",$D37=""),"",IF(AND(DATE($B$1,1,1)+(19-1)*7&lt;=$D37,DATE($B$1,1,1)+19*7-1&gt;=$C37),1,""))</f>
        <v/>
      </c>
      <c r="X37" s="10">
        <f>IF(OR($C37="",$D37=""),"",IF(AND(DATE($B$1,1,1)+(20-1)*7&lt;=$D37,DATE($B$1,1,1)+20*7-1&gt;=$C37),1,""))</f>
        <v/>
      </c>
      <c r="Y37" s="10">
        <f>IF(OR($C37="",$D37=""),"",IF(AND(DATE($B$1,1,1)+(21-1)*7&lt;=$D37,DATE($B$1,1,1)+21*7-1&gt;=$C37),1,""))</f>
        <v/>
      </c>
      <c r="Z37" s="10">
        <f>IF(OR($C37="",$D37=""),"",IF(AND(DATE($B$1,1,1)+(22-1)*7&lt;=$D37,DATE($B$1,1,1)+22*7-1&gt;=$C37),1,""))</f>
        <v/>
      </c>
      <c r="AA37" s="10">
        <f>IF(OR($C37="",$D37=""),"",IF(AND(DATE($B$1,1,1)+(23-1)*7&lt;=$D37,DATE($B$1,1,1)+23*7-1&gt;=$C37),1,""))</f>
        <v/>
      </c>
      <c r="AB37" s="10">
        <f>IF(OR($C37="",$D37=""),"",IF(AND(DATE($B$1,1,1)+(24-1)*7&lt;=$D37,DATE($B$1,1,1)+24*7-1&gt;=$C37),1,""))</f>
        <v/>
      </c>
      <c r="AC37" s="10">
        <f>IF(OR($C37="",$D37=""),"",IF(AND(DATE($B$1,1,1)+(25-1)*7&lt;=$D37,DATE($B$1,1,1)+25*7-1&gt;=$C37),1,""))</f>
        <v/>
      </c>
      <c r="AD37" s="10">
        <f>IF(OR($C37="",$D37=""),"",IF(AND(DATE($B$1,1,1)+(26-1)*7&lt;=$D37,DATE($B$1,1,1)+26*7-1&gt;=$C37),1,""))</f>
        <v/>
      </c>
      <c r="AE37" s="10">
        <f>IF(OR($C37="",$D37=""),"",IF(AND(DATE($B$1,1,1)+(27-1)*7&lt;=$D37,DATE($B$1,1,1)+27*7-1&gt;=$C37),1,""))</f>
        <v/>
      </c>
      <c r="AF37" s="10">
        <f>IF(OR($C37="",$D37=""),"",IF(AND(DATE($B$1,1,1)+(28-1)*7&lt;=$D37,DATE($B$1,1,1)+28*7-1&gt;=$C37),1,""))</f>
        <v/>
      </c>
      <c r="AG37" s="10">
        <f>IF(OR($C37="",$D37=""),"",IF(AND(DATE($B$1,1,1)+(29-1)*7&lt;=$D37,DATE($B$1,1,1)+29*7-1&gt;=$C37),1,""))</f>
        <v/>
      </c>
      <c r="AH37" s="10">
        <f>IF(OR($C37="",$D37=""),"",IF(AND(DATE($B$1,1,1)+(30-1)*7&lt;=$D37,DATE($B$1,1,1)+30*7-1&gt;=$C37),1,""))</f>
        <v/>
      </c>
      <c r="AI37" s="10">
        <f>IF(OR($C37="",$D37=""),"",IF(AND(DATE($B$1,1,1)+(31-1)*7&lt;=$D37,DATE($B$1,1,1)+31*7-1&gt;=$C37),1,""))</f>
        <v/>
      </c>
      <c r="AJ37" s="10">
        <f>IF(OR($C37="",$D37=""),"",IF(AND(DATE($B$1,1,1)+(32-1)*7&lt;=$D37,DATE($B$1,1,1)+32*7-1&gt;=$C37),1,""))</f>
        <v/>
      </c>
      <c r="AK37" s="10">
        <f>IF(OR($C37="",$D37=""),"",IF(AND(DATE($B$1,1,1)+(33-1)*7&lt;=$D37,DATE($B$1,1,1)+33*7-1&gt;=$C37),1,""))</f>
        <v/>
      </c>
      <c r="AL37" s="10">
        <f>IF(OR($C37="",$D37=""),"",IF(AND(DATE($B$1,1,1)+(34-1)*7&lt;=$D37,DATE($B$1,1,1)+34*7-1&gt;=$C37),1,""))</f>
        <v/>
      </c>
      <c r="AM37" s="10">
        <f>IF(OR($C37="",$D37=""),"",IF(AND(DATE($B$1,1,1)+(35-1)*7&lt;=$D37,DATE($B$1,1,1)+35*7-1&gt;=$C37),1,""))</f>
        <v/>
      </c>
      <c r="AN37" s="10">
        <f>IF(OR($C37="",$D37=""),"",IF(AND(DATE($B$1,1,1)+(36-1)*7&lt;=$D37,DATE($B$1,1,1)+36*7-1&gt;=$C37),1,""))</f>
        <v/>
      </c>
      <c r="AO37" s="10">
        <f>IF(OR($C37="",$D37=""),"",IF(AND(DATE($B$1,1,1)+(37-1)*7&lt;=$D37,DATE($B$1,1,1)+37*7-1&gt;=$C37),1,""))</f>
        <v/>
      </c>
      <c r="AP37" s="10">
        <f>IF(OR($C37="",$D37=""),"",IF(AND(DATE($B$1,1,1)+(38-1)*7&lt;=$D37,DATE($B$1,1,1)+38*7-1&gt;=$C37),1,""))</f>
        <v/>
      </c>
      <c r="AQ37" s="10">
        <f>IF(OR($C37="",$D37=""),"",IF(AND(DATE($B$1,1,1)+(39-1)*7&lt;=$D37,DATE($B$1,1,1)+39*7-1&gt;=$C37),1,""))</f>
        <v/>
      </c>
      <c r="AR37" s="10">
        <f>IF(OR($C37="",$D37=""),"",IF(AND(DATE($B$1,1,1)+(40-1)*7&lt;=$D37,DATE($B$1,1,1)+40*7-1&gt;=$C37),1,""))</f>
        <v/>
      </c>
      <c r="AS37" s="10">
        <f>IF(OR($C37="",$D37=""),"",IF(AND(DATE($B$1,1,1)+(41-1)*7&lt;=$D37,DATE($B$1,1,1)+41*7-1&gt;=$C37),1,""))</f>
        <v/>
      </c>
      <c r="AT37" s="10">
        <f>IF(OR($C37="",$D37=""),"",IF(AND(DATE($B$1,1,1)+(42-1)*7&lt;=$D37,DATE($B$1,1,1)+42*7-1&gt;=$C37),1,""))</f>
        <v/>
      </c>
      <c r="AU37" s="10">
        <f>IF(OR($C37="",$D37=""),"",IF(AND(DATE($B$1,1,1)+(43-1)*7&lt;=$D37,DATE($B$1,1,1)+43*7-1&gt;=$C37),1,""))</f>
        <v/>
      </c>
      <c r="AV37" s="10">
        <f>IF(OR($C37="",$D37=""),"",IF(AND(DATE($B$1,1,1)+(44-1)*7&lt;=$D37,DATE($B$1,1,1)+44*7-1&gt;=$C37),1,""))</f>
        <v/>
      </c>
      <c r="AW37" s="10">
        <f>IF(OR($C37="",$D37=""),"",IF(AND(DATE($B$1,1,1)+(45-1)*7&lt;=$D37,DATE($B$1,1,1)+45*7-1&gt;=$C37),1,""))</f>
        <v/>
      </c>
      <c r="AX37" s="10">
        <f>IF(OR($C37="",$D37=""),"",IF(AND(DATE($B$1,1,1)+(46-1)*7&lt;=$D37,DATE($B$1,1,1)+46*7-1&gt;=$C37),1,""))</f>
        <v/>
      </c>
      <c r="AY37" s="10">
        <f>IF(OR($C37="",$D37=""),"",IF(AND(DATE($B$1,1,1)+(47-1)*7&lt;=$D37,DATE($B$1,1,1)+47*7-1&gt;=$C37),1,""))</f>
        <v/>
      </c>
      <c r="AZ37" s="10">
        <f>IF(OR($C37="",$D37=""),"",IF(AND(DATE($B$1,1,1)+(48-1)*7&lt;=$D37,DATE($B$1,1,1)+48*7-1&gt;=$C37),1,""))</f>
        <v/>
      </c>
      <c r="BA37" s="10">
        <f>IF(OR($C37="",$D37=""),"",IF(AND(DATE($B$1,1,1)+(49-1)*7&lt;=$D37,DATE($B$1,1,1)+49*7-1&gt;=$C37),1,""))</f>
        <v/>
      </c>
      <c r="BB37" s="10">
        <f>IF(OR($C37="",$D37=""),"",IF(AND(DATE($B$1,1,1)+(50-1)*7&lt;=$D37,DATE($B$1,1,1)+50*7-1&gt;=$C37),1,""))</f>
        <v/>
      </c>
      <c r="BC37" s="10">
        <f>IF(OR($C37="",$D37=""),"",IF(AND(DATE($B$1,1,1)+(51-1)*7&lt;=$D37,DATE($B$1,1,1)+51*7-1&gt;=$C37),1,""))</f>
        <v/>
      </c>
      <c r="BD37" s="10">
        <f>IF(OR($C37="",$D37=""),"",IF(AND(DATE($B$1,1,1)+(52-1)*7&lt;=$D37,DATE($B$1,1,1)+52*7-1&gt;=$C37),1,""))</f>
        <v/>
      </c>
      <c r="BE37" s="10">
        <f>IF(OR($C37="",$D37=""),"",IF(AND(DATE($B$1,1,1)+(53-1)*7&lt;=$D37,DATE($B$1,1,1)+53*7-1&gt;=$C37),1,""))</f>
        <v/>
      </c>
      <c r="BF37" s="10">
        <f>IF(OR($C37="",$D37=""),"",IF(AND(DATE($B$1,1,1)+(54-1)*7&lt;=$D37,DATE($B$1,1,1)+54*7-1&gt;=$C37),1,""))</f>
        <v/>
      </c>
    </row>
    <row r="38">
      <c r="A38" s="6" t="n"/>
      <c r="B38" s="6" t="n"/>
      <c r="C38" s="11" t="n"/>
      <c r="D38" s="11" t="n"/>
      <c r="E38" s="10">
        <f>IF(OR($C38="",$D38=""),"",IF(AND(DATE($B$1,1,1)+(1-1)*7&lt;=$D38,DATE($B$1,1,1)+1*7-1&gt;=$C38),1,""))</f>
        <v/>
      </c>
      <c r="F38" s="10">
        <f>IF(OR($C38="",$D38=""),"",IF(AND(DATE($B$1,1,1)+(2-1)*7&lt;=$D38,DATE($B$1,1,1)+2*7-1&gt;=$C38),1,""))</f>
        <v/>
      </c>
      <c r="G38" s="10">
        <f>IF(OR($C38="",$D38=""),"",IF(AND(DATE($B$1,1,1)+(3-1)*7&lt;=$D38,DATE($B$1,1,1)+3*7-1&gt;=$C38),1,""))</f>
        <v/>
      </c>
      <c r="H38" s="10">
        <f>IF(OR($C38="",$D38=""),"",IF(AND(DATE($B$1,1,1)+(4-1)*7&lt;=$D38,DATE($B$1,1,1)+4*7-1&gt;=$C38),1,""))</f>
        <v/>
      </c>
      <c r="I38" s="10">
        <f>IF(OR($C38="",$D38=""),"",IF(AND(DATE($B$1,1,1)+(5-1)*7&lt;=$D38,DATE($B$1,1,1)+5*7-1&gt;=$C38),1,""))</f>
        <v/>
      </c>
      <c r="J38" s="10">
        <f>IF(OR($C38="",$D38=""),"",IF(AND(DATE($B$1,1,1)+(6-1)*7&lt;=$D38,DATE($B$1,1,1)+6*7-1&gt;=$C38),1,""))</f>
        <v/>
      </c>
      <c r="K38" s="10">
        <f>IF(OR($C38="",$D38=""),"",IF(AND(DATE($B$1,1,1)+(7-1)*7&lt;=$D38,DATE($B$1,1,1)+7*7-1&gt;=$C38),1,""))</f>
        <v/>
      </c>
      <c r="L38" s="10">
        <f>IF(OR($C38="",$D38=""),"",IF(AND(DATE($B$1,1,1)+(8-1)*7&lt;=$D38,DATE($B$1,1,1)+8*7-1&gt;=$C38),1,""))</f>
        <v/>
      </c>
      <c r="M38" s="10">
        <f>IF(OR($C38="",$D38=""),"",IF(AND(DATE($B$1,1,1)+(9-1)*7&lt;=$D38,DATE($B$1,1,1)+9*7-1&gt;=$C38),1,""))</f>
        <v/>
      </c>
      <c r="N38" s="10">
        <f>IF(OR($C38="",$D38=""),"",IF(AND(DATE($B$1,1,1)+(10-1)*7&lt;=$D38,DATE($B$1,1,1)+10*7-1&gt;=$C38),1,""))</f>
        <v/>
      </c>
      <c r="O38" s="10">
        <f>IF(OR($C38="",$D38=""),"",IF(AND(DATE($B$1,1,1)+(11-1)*7&lt;=$D38,DATE($B$1,1,1)+11*7-1&gt;=$C38),1,""))</f>
        <v/>
      </c>
      <c r="P38" s="10">
        <f>IF(OR($C38="",$D38=""),"",IF(AND(DATE($B$1,1,1)+(12-1)*7&lt;=$D38,DATE($B$1,1,1)+12*7-1&gt;=$C38),1,""))</f>
        <v/>
      </c>
      <c r="Q38" s="10">
        <f>IF(OR($C38="",$D38=""),"",IF(AND(DATE($B$1,1,1)+(13-1)*7&lt;=$D38,DATE($B$1,1,1)+13*7-1&gt;=$C38),1,""))</f>
        <v/>
      </c>
      <c r="R38" s="10">
        <f>IF(OR($C38="",$D38=""),"",IF(AND(DATE($B$1,1,1)+(14-1)*7&lt;=$D38,DATE($B$1,1,1)+14*7-1&gt;=$C38),1,""))</f>
        <v/>
      </c>
      <c r="S38" s="10">
        <f>IF(OR($C38="",$D38=""),"",IF(AND(DATE($B$1,1,1)+(15-1)*7&lt;=$D38,DATE($B$1,1,1)+15*7-1&gt;=$C38),1,""))</f>
        <v/>
      </c>
      <c r="T38" s="10">
        <f>IF(OR($C38="",$D38=""),"",IF(AND(DATE($B$1,1,1)+(16-1)*7&lt;=$D38,DATE($B$1,1,1)+16*7-1&gt;=$C38),1,""))</f>
        <v/>
      </c>
      <c r="U38" s="10">
        <f>IF(OR($C38="",$D38=""),"",IF(AND(DATE($B$1,1,1)+(17-1)*7&lt;=$D38,DATE($B$1,1,1)+17*7-1&gt;=$C38),1,""))</f>
        <v/>
      </c>
      <c r="V38" s="10">
        <f>IF(OR($C38="",$D38=""),"",IF(AND(DATE($B$1,1,1)+(18-1)*7&lt;=$D38,DATE($B$1,1,1)+18*7-1&gt;=$C38),1,""))</f>
        <v/>
      </c>
      <c r="W38" s="10">
        <f>IF(OR($C38="",$D38=""),"",IF(AND(DATE($B$1,1,1)+(19-1)*7&lt;=$D38,DATE($B$1,1,1)+19*7-1&gt;=$C38),1,""))</f>
        <v/>
      </c>
      <c r="X38" s="10">
        <f>IF(OR($C38="",$D38=""),"",IF(AND(DATE($B$1,1,1)+(20-1)*7&lt;=$D38,DATE($B$1,1,1)+20*7-1&gt;=$C38),1,""))</f>
        <v/>
      </c>
      <c r="Y38" s="10">
        <f>IF(OR($C38="",$D38=""),"",IF(AND(DATE($B$1,1,1)+(21-1)*7&lt;=$D38,DATE($B$1,1,1)+21*7-1&gt;=$C38),1,""))</f>
        <v/>
      </c>
      <c r="Z38" s="10">
        <f>IF(OR($C38="",$D38=""),"",IF(AND(DATE($B$1,1,1)+(22-1)*7&lt;=$D38,DATE($B$1,1,1)+22*7-1&gt;=$C38),1,""))</f>
        <v/>
      </c>
      <c r="AA38" s="10">
        <f>IF(OR($C38="",$D38=""),"",IF(AND(DATE($B$1,1,1)+(23-1)*7&lt;=$D38,DATE($B$1,1,1)+23*7-1&gt;=$C38),1,""))</f>
        <v/>
      </c>
      <c r="AB38" s="10">
        <f>IF(OR($C38="",$D38=""),"",IF(AND(DATE($B$1,1,1)+(24-1)*7&lt;=$D38,DATE($B$1,1,1)+24*7-1&gt;=$C38),1,""))</f>
        <v/>
      </c>
      <c r="AC38" s="10">
        <f>IF(OR($C38="",$D38=""),"",IF(AND(DATE($B$1,1,1)+(25-1)*7&lt;=$D38,DATE($B$1,1,1)+25*7-1&gt;=$C38),1,""))</f>
        <v/>
      </c>
      <c r="AD38" s="10">
        <f>IF(OR($C38="",$D38=""),"",IF(AND(DATE($B$1,1,1)+(26-1)*7&lt;=$D38,DATE($B$1,1,1)+26*7-1&gt;=$C38),1,""))</f>
        <v/>
      </c>
      <c r="AE38" s="10">
        <f>IF(OR($C38="",$D38=""),"",IF(AND(DATE($B$1,1,1)+(27-1)*7&lt;=$D38,DATE($B$1,1,1)+27*7-1&gt;=$C38),1,""))</f>
        <v/>
      </c>
      <c r="AF38" s="10">
        <f>IF(OR($C38="",$D38=""),"",IF(AND(DATE($B$1,1,1)+(28-1)*7&lt;=$D38,DATE($B$1,1,1)+28*7-1&gt;=$C38),1,""))</f>
        <v/>
      </c>
      <c r="AG38" s="10">
        <f>IF(OR($C38="",$D38=""),"",IF(AND(DATE($B$1,1,1)+(29-1)*7&lt;=$D38,DATE($B$1,1,1)+29*7-1&gt;=$C38),1,""))</f>
        <v/>
      </c>
      <c r="AH38" s="10">
        <f>IF(OR($C38="",$D38=""),"",IF(AND(DATE($B$1,1,1)+(30-1)*7&lt;=$D38,DATE($B$1,1,1)+30*7-1&gt;=$C38),1,""))</f>
        <v/>
      </c>
      <c r="AI38" s="10">
        <f>IF(OR($C38="",$D38=""),"",IF(AND(DATE($B$1,1,1)+(31-1)*7&lt;=$D38,DATE($B$1,1,1)+31*7-1&gt;=$C38),1,""))</f>
        <v/>
      </c>
      <c r="AJ38" s="10">
        <f>IF(OR($C38="",$D38=""),"",IF(AND(DATE($B$1,1,1)+(32-1)*7&lt;=$D38,DATE($B$1,1,1)+32*7-1&gt;=$C38),1,""))</f>
        <v/>
      </c>
      <c r="AK38" s="10">
        <f>IF(OR($C38="",$D38=""),"",IF(AND(DATE($B$1,1,1)+(33-1)*7&lt;=$D38,DATE($B$1,1,1)+33*7-1&gt;=$C38),1,""))</f>
        <v/>
      </c>
      <c r="AL38" s="10">
        <f>IF(OR($C38="",$D38=""),"",IF(AND(DATE($B$1,1,1)+(34-1)*7&lt;=$D38,DATE($B$1,1,1)+34*7-1&gt;=$C38),1,""))</f>
        <v/>
      </c>
      <c r="AM38" s="10">
        <f>IF(OR($C38="",$D38=""),"",IF(AND(DATE($B$1,1,1)+(35-1)*7&lt;=$D38,DATE($B$1,1,1)+35*7-1&gt;=$C38),1,""))</f>
        <v/>
      </c>
      <c r="AN38" s="10">
        <f>IF(OR($C38="",$D38=""),"",IF(AND(DATE($B$1,1,1)+(36-1)*7&lt;=$D38,DATE($B$1,1,1)+36*7-1&gt;=$C38),1,""))</f>
        <v/>
      </c>
      <c r="AO38" s="10">
        <f>IF(OR($C38="",$D38=""),"",IF(AND(DATE($B$1,1,1)+(37-1)*7&lt;=$D38,DATE($B$1,1,1)+37*7-1&gt;=$C38),1,""))</f>
        <v/>
      </c>
      <c r="AP38" s="10">
        <f>IF(OR($C38="",$D38=""),"",IF(AND(DATE($B$1,1,1)+(38-1)*7&lt;=$D38,DATE($B$1,1,1)+38*7-1&gt;=$C38),1,""))</f>
        <v/>
      </c>
      <c r="AQ38" s="10">
        <f>IF(OR($C38="",$D38=""),"",IF(AND(DATE($B$1,1,1)+(39-1)*7&lt;=$D38,DATE($B$1,1,1)+39*7-1&gt;=$C38),1,""))</f>
        <v/>
      </c>
      <c r="AR38" s="10">
        <f>IF(OR($C38="",$D38=""),"",IF(AND(DATE($B$1,1,1)+(40-1)*7&lt;=$D38,DATE($B$1,1,1)+40*7-1&gt;=$C38),1,""))</f>
        <v/>
      </c>
      <c r="AS38" s="10">
        <f>IF(OR($C38="",$D38=""),"",IF(AND(DATE($B$1,1,1)+(41-1)*7&lt;=$D38,DATE($B$1,1,1)+41*7-1&gt;=$C38),1,""))</f>
        <v/>
      </c>
      <c r="AT38" s="10">
        <f>IF(OR($C38="",$D38=""),"",IF(AND(DATE($B$1,1,1)+(42-1)*7&lt;=$D38,DATE($B$1,1,1)+42*7-1&gt;=$C38),1,""))</f>
        <v/>
      </c>
      <c r="AU38" s="10">
        <f>IF(OR($C38="",$D38=""),"",IF(AND(DATE($B$1,1,1)+(43-1)*7&lt;=$D38,DATE($B$1,1,1)+43*7-1&gt;=$C38),1,""))</f>
        <v/>
      </c>
      <c r="AV38" s="10">
        <f>IF(OR($C38="",$D38=""),"",IF(AND(DATE($B$1,1,1)+(44-1)*7&lt;=$D38,DATE($B$1,1,1)+44*7-1&gt;=$C38),1,""))</f>
        <v/>
      </c>
      <c r="AW38" s="10">
        <f>IF(OR($C38="",$D38=""),"",IF(AND(DATE($B$1,1,1)+(45-1)*7&lt;=$D38,DATE($B$1,1,1)+45*7-1&gt;=$C38),1,""))</f>
        <v/>
      </c>
      <c r="AX38" s="10">
        <f>IF(OR($C38="",$D38=""),"",IF(AND(DATE($B$1,1,1)+(46-1)*7&lt;=$D38,DATE($B$1,1,1)+46*7-1&gt;=$C38),1,""))</f>
        <v/>
      </c>
      <c r="AY38" s="10">
        <f>IF(OR($C38="",$D38=""),"",IF(AND(DATE($B$1,1,1)+(47-1)*7&lt;=$D38,DATE($B$1,1,1)+47*7-1&gt;=$C38),1,""))</f>
        <v/>
      </c>
      <c r="AZ38" s="10">
        <f>IF(OR($C38="",$D38=""),"",IF(AND(DATE($B$1,1,1)+(48-1)*7&lt;=$D38,DATE($B$1,1,1)+48*7-1&gt;=$C38),1,""))</f>
        <v/>
      </c>
      <c r="BA38" s="10">
        <f>IF(OR($C38="",$D38=""),"",IF(AND(DATE($B$1,1,1)+(49-1)*7&lt;=$D38,DATE($B$1,1,1)+49*7-1&gt;=$C38),1,""))</f>
        <v/>
      </c>
      <c r="BB38" s="10">
        <f>IF(OR($C38="",$D38=""),"",IF(AND(DATE($B$1,1,1)+(50-1)*7&lt;=$D38,DATE($B$1,1,1)+50*7-1&gt;=$C38),1,""))</f>
        <v/>
      </c>
      <c r="BC38" s="10">
        <f>IF(OR($C38="",$D38=""),"",IF(AND(DATE($B$1,1,1)+(51-1)*7&lt;=$D38,DATE($B$1,1,1)+51*7-1&gt;=$C38),1,""))</f>
        <v/>
      </c>
      <c r="BD38" s="10">
        <f>IF(OR($C38="",$D38=""),"",IF(AND(DATE($B$1,1,1)+(52-1)*7&lt;=$D38,DATE($B$1,1,1)+52*7-1&gt;=$C38),1,""))</f>
        <v/>
      </c>
      <c r="BE38" s="10">
        <f>IF(OR($C38="",$D38=""),"",IF(AND(DATE($B$1,1,1)+(53-1)*7&lt;=$D38,DATE($B$1,1,1)+53*7-1&gt;=$C38),1,""))</f>
        <v/>
      </c>
      <c r="BF38" s="10">
        <f>IF(OR($C38="",$D38=""),"",IF(AND(DATE($B$1,1,1)+(54-1)*7&lt;=$D38,DATE($B$1,1,1)+54*7-1&gt;=$C38),1,""))</f>
        <v/>
      </c>
    </row>
    <row r="39">
      <c r="A39" s="6" t="n"/>
      <c r="B39" s="6" t="n"/>
      <c r="C39" s="11" t="n"/>
      <c r="D39" s="11" t="n"/>
      <c r="E39" s="10">
        <f>IF(OR($C39="",$D39=""),"",IF(AND(DATE($B$1,1,1)+(1-1)*7&lt;=$D39,DATE($B$1,1,1)+1*7-1&gt;=$C39),1,""))</f>
        <v/>
      </c>
      <c r="F39" s="10">
        <f>IF(OR($C39="",$D39=""),"",IF(AND(DATE($B$1,1,1)+(2-1)*7&lt;=$D39,DATE($B$1,1,1)+2*7-1&gt;=$C39),1,""))</f>
        <v/>
      </c>
      <c r="G39" s="10">
        <f>IF(OR($C39="",$D39=""),"",IF(AND(DATE($B$1,1,1)+(3-1)*7&lt;=$D39,DATE($B$1,1,1)+3*7-1&gt;=$C39),1,""))</f>
        <v/>
      </c>
      <c r="H39" s="10">
        <f>IF(OR($C39="",$D39=""),"",IF(AND(DATE($B$1,1,1)+(4-1)*7&lt;=$D39,DATE($B$1,1,1)+4*7-1&gt;=$C39),1,""))</f>
        <v/>
      </c>
      <c r="I39" s="10">
        <f>IF(OR($C39="",$D39=""),"",IF(AND(DATE($B$1,1,1)+(5-1)*7&lt;=$D39,DATE($B$1,1,1)+5*7-1&gt;=$C39),1,""))</f>
        <v/>
      </c>
      <c r="J39" s="10">
        <f>IF(OR($C39="",$D39=""),"",IF(AND(DATE($B$1,1,1)+(6-1)*7&lt;=$D39,DATE($B$1,1,1)+6*7-1&gt;=$C39),1,""))</f>
        <v/>
      </c>
      <c r="K39" s="10">
        <f>IF(OR($C39="",$D39=""),"",IF(AND(DATE($B$1,1,1)+(7-1)*7&lt;=$D39,DATE($B$1,1,1)+7*7-1&gt;=$C39),1,""))</f>
        <v/>
      </c>
      <c r="L39" s="10">
        <f>IF(OR($C39="",$D39=""),"",IF(AND(DATE($B$1,1,1)+(8-1)*7&lt;=$D39,DATE($B$1,1,1)+8*7-1&gt;=$C39),1,""))</f>
        <v/>
      </c>
      <c r="M39" s="10">
        <f>IF(OR($C39="",$D39=""),"",IF(AND(DATE($B$1,1,1)+(9-1)*7&lt;=$D39,DATE($B$1,1,1)+9*7-1&gt;=$C39),1,""))</f>
        <v/>
      </c>
      <c r="N39" s="10">
        <f>IF(OR($C39="",$D39=""),"",IF(AND(DATE($B$1,1,1)+(10-1)*7&lt;=$D39,DATE($B$1,1,1)+10*7-1&gt;=$C39),1,""))</f>
        <v/>
      </c>
      <c r="O39" s="10">
        <f>IF(OR($C39="",$D39=""),"",IF(AND(DATE($B$1,1,1)+(11-1)*7&lt;=$D39,DATE($B$1,1,1)+11*7-1&gt;=$C39),1,""))</f>
        <v/>
      </c>
      <c r="P39" s="10">
        <f>IF(OR($C39="",$D39=""),"",IF(AND(DATE($B$1,1,1)+(12-1)*7&lt;=$D39,DATE($B$1,1,1)+12*7-1&gt;=$C39),1,""))</f>
        <v/>
      </c>
      <c r="Q39" s="10">
        <f>IF(OR($C39="",$D39=""),"",IF(AND(DATE($B$1,1,1)+(13-1)*7&lt;=$D39,DATE($B$1,1,1)+13*7-1&gt;=$C39),1,""))</f>
        <v/>
      </c>
      <c r="R39" s="10">
        <f>IF(OR($C39="",$D39=""),"",IF(AND(DATE($B$1,1,1)+(14-1)*7&lt;=$D39,DATE($B$1,1,1)+14*7-1&gt;=$C39),1,""))</f>
        <v/>
      </c>
      <c r="S39" s="10">
        <f>IF(OR($C39="",$D39=""),"",IF(AND(DATE($B$1,1,1)+(15-1)*7&lt;=$D39,DATE($B$1,1,1)+15*7-1&gt;=$C39),1,""))</f>
        <v/>
      </c>
      <c r="T39" s="10">
        <f>IF(OR($C39="",$D39=""),"",IF(AND(DATE($B$1,1,1)+(16-1)*7&lt;=$D39,DATE($B$1,1,1)+16*7-1&gt;=$C39),1,""))</f>
        <v/>
      </c>
      <c r="U39" s="10">
        <f>IF(OR($C39="",$D39=""),"",IF(AND(DATE($B$1,1,1)+(17-1)*7&lt;=$D39,DATE($B$1,1,1)+17*7-1&gt;=$C39),1,""))</f>
        <v/>
      </c>
      <c r="V39" s="10">
        <f>IF(OR($C39="",$D39=""),"",IF(AND(DATE($B$1,1,1)+(18-1)*7&lt;=$D39,DATE($B$1,1,1)+18*7-1&gt;=$C39),1,""))</f>
        <v/>
      </c>
      <c r="W39" s="10">
        <f>IF(OR($C39="",$D39=""),"",IF(AND(DATE($B$1,1,1)+(19-1)*7&lt;=$D39,DATE($B$1,1,1)+19*7-1&gt;=$C39),1,""))</f>
        <v/>
      </c>
      <c r="X39" s="10">
        <f>IF(OR($C39="",$D39=""),"",IF(AND(DATE($B$1,1,1)+(20-1)*7&lt;=$D39,DATE($B$1,1,1)+20*7-1&gt;=$C39),1,""))</f>
        <v/>
      </c>
      <c r="Y39" s="10">
        <f>IF(OR($C39="",$D39=""),"",IF(AND(DATE($B$1,1,1)+(21-1)*7&lt;=$D39,DATE($B$1,1,1)+21*7-1&gt;=$C39),1,""))</f>
        <v/>
      </c>
      <c r="Z39" s="10">
        <f>IF(OR($C39="",$D39=""),"",IF(AND(DATE($B$1,1,1)+(22-1)*7&lt;=$D39,DATE($B$1,1,1)+22*7-1&gt;=$C39),1,""))</f>
        <v/>
      </c>
      <c r="AA39" s="10">
        <f>IF(OR($C39="",$D39=""),"",IF(AND(DATE($B$1,1,1)+(23-1)*7&lt;=$D39,DATE($B$1,1,1)+23*7-1&gt;=$C39),1,""))</f>
        <v/>
      </c>
      <c r="AB39" s="10">
        <f>IF(OR($C39="",$D39=""),"",IF(AND(DATE($B$1,1,1)+(24-1)*7&lt;=$D39,DATE($B$1,1,1)+24*7-1&gt;=$C39),1,""))</f>
        <v/>
      </c>
      <c r="AC39" s="10">
        <f>IF(OR($C39="",$D39=""),"",IF(AND(DATE($B$1,1,1)+(25-1)*7&lt;=$D39,DATE($B$1,1,1)+25*7-1&gt;=$C39),1,""))</f>
        <v/>
      </c>
      <c r="AD39" s="10">
        <f>IF(OR($C39="",$D39=""),"",IF(AND(DATE($B$1,1,1)+(26-1)*7&lt;=$D39,DATE($B$1,1,1)+26*7-1&gt;=$C39),1,""))</f>
        <v/>
      </c>
      <c r="AE39" s="10">
        <f>IF(OR($C39="",$D39=""),"",IF(AND(DATE($B$1,1,1)+(27-1)*7&lt;=$D39,DATE($B$1,1,1)+27*7-1&gt;=$C39),1,""))</f>
        <v/>
      </c>
      <c r="AF39" s="10">
        <f>IF(OR($C39="",$D39=""),"",IF(AND(DATE($B$1,1,1)+(28-1)*7&lt;=$D39,DATE($B$1,1,1)+28*7-1&gt;=$C39),1,""))</f>
        <v/>
      </c>
      <c r="AG39" s="10">
        <f>IF(OR($C39="",$D39=""),"",IF(AND(DATE($B$1,1,1)+(29-1)*7&lt;=$D39,DATE($B$1,1,1)+29*7-1&gt;=$C39),1,""))</f>
        <v/>
      </c>
      <c r="AH39" s="10">
        <f>IF(OR($C39="",$D39=""),"",IF(AND(DATE($B$1,1,1)+(30-1)*7&lt;=$D39,DATE($B$1,1,1)+30*7-1&gt;=$C39),1,""))</f>
        <v/>
      </c>
      <c r="AI39" s="10">
        <f>IF(OR($C39="",$D39=""),"",IF(AND(DATE($B$1,1,1)+(31-1)*7&lt;=$D39,DATE($B$1,1,1)+31*7-1&gt;=$C39),1,""))</f>
        <v/>
      </c>
      <c r="AJ39" s="10">
        <f>IF(OR($C39="",$D39=""),"",IF(AND(DATE($B$1,1,1)+(32-1)*7&lt;=$D39,DATE($B$1,1,1)+32*7-1&gt;=$C39),1,""))</f>
        <v/>
      </c>
      <c r="AK39" s="10">
        <f>IF(OR($C39="",$D39=""),"",IF(AND(DATE($B$1,1,1)+(33-1)*7&lt;=$D39,DATE($B$1,1,1)+33*7-1&gt;=$C39),1,""))</f>
        <v/>
      </c>
      <c r="AL39" s="10">
        <f>IF(OR($C39="",$D39=""),"",IF(AND(DATE($B$1,1,1)+(34-1)*7&lt;=$D39,DATE($B$1,1,1)+34*7-1&gt;=$C39),1,""))</f>
        <v/>
      </c>
      <c r="AM39" s="10">
        <f>IF(OR($C39="",$D39=""),"",IF(AND(DATE($B$1,1,1)+(35-1)*7&lt;=$D39,DATE($B$1,1,1)+35*7-1&gt;=$C39),1,""))</f>
        <v/>
      </c>
      <c r="AN39" s="10">
        <f>IF(OR($C39="",$D39=""),"",IF(AND(DATE($B$1,1,1)+(36-1)*7&lt;=$D39,DATE($B$1,1,1)+36*7-1&gt;=$C39),1,""))</f>
        <v/>
      </c>
      <c r="AO39" s="10">
        <f>IF(OR($C39="",$D39=""),"",IF(AND(DATE($B$1,1,1)+(37-1)*7&lt;=$D39,DATE($B$1,1,1)+37*7-1&gt;=$C39),1,""))</f>
        <v/>
      </c>
      <c r="AP39" s="10">
        <f>IF(OR($C39="",$D39=""),"",IF(AND(DATE($B$1,1,1)+(38-1)*7&lt;=$D39,DATE($B$1,1,1)+38*7-1&gt;=$C39),1,""))</f>
        <v/>
      </c>
      <c r="AQ39" s="10">
        <f>IF(OR($C39="",$D39=""),"",IF(AND(DATE($B$1,1,1)+(39-1)*7&lt;=$D39,DATE($B$1,1,1)+39*7-1&gt;=$C39),1,""))</f>
        <v/>
      </c>
      <c r="AR39" s="10">
        <f>IF(OR($C39="",$D39=""),"",IF(AND(DATE($B$1,1,1)+(40-1)*7&lt;=$D39,DATE($B$1,1,1)+40*7-1&gt;=$C39),1,""))</f>
        <v/>
      </c>
      <c r="AS39" s="10">
        <f>IF(OR($C39="",$D39=""),"",IF(AND(DATE($B$1,1,1)+(41-1)*7&lt;=$D39,DATE($B$1,1,1)+41*7-1&gt;=$C39),1,""))</f>
        <v/>
      </c>
      <c r="AT39" s="10">
        <f>IF(OR($C39="",$D39=""),"",IF(AND(DATE($B$1,1,1)+(42-1)*7&lt;=$D39,DATE($B$1,1,1)+42*7-1&gt;=$C39),1,""))</f>
        <v/>
      </c>
      <c r="AU39" s="10">
        <f>IF(OR($C39="",$D39=""),"",IF(AND(DATE($B$1,1,1)+(43-1)*7&lt;=$D39,DATE($B$1,1,1)+43*7-1&gt;=$C39),1,""))</f>
        <v/>
      </c>
      <c r="AV39" s="10">
        <f>IF(OR($C39="",$D39=""),"",IF(AND(DATE($B$1,1,1)+(44-1)*7&lt;=$D39,DATE($B$1,1,1)+44*7-1&gt;=$C39),1,""))</f>
        <v/>
      </c>
      <c r="AW39" s="10">
        <f>IF(OR($C39="",$D39=""),"",IF(AND(DATE($B$1,1,1)+(45-1)*7&lt;=$D39,DATE($B$1,1,1)+45*7-1&gt;=$C39),1,""))</f>
        <v/>
      </c>
      <c r="AX39" s="10">
        <f>IF(OR($C39="",$D39=""),"",IF(AND(DATE($B$1,1,1)+(46-1)*7&lt;=$D39,DATE($B$1,1,1)+46*7-1&gt;=$C39),1,""))</f>
        <v/>
      </c>
      <c r="AY39" s="10">
        <f>IF(OR($C39="",$D39=""),"",IF(AND(DATE($B$1,1,1)+(47-1)*7&lt;=$D39,DATE($B$1,1,1)+47*7-1&gt;=$C39),1,""))</f>
        <v/>
      </c>
      <c r="AZ39" s="10">
        <f>IF(OR($C39="",$D39=""),"",IF(AND(DATE($B$1,1,1)+(48-1)*7&lt;=$D39,DATE($B$1,1,1)+48*7-1&gt;=$C39),1,""))</f>
        <v/>
      </c>
      <c r="BA39" s="10">
        <f>IF(OR($C39="",$D39=""),"",IF(AND(DATE($B$1,1,1)+(49-1)*7&lt;=$D39,DATE($B$1,1,1)+49*7-1&gt;=$C39),1,""))</f>
        <v/>
      </c>
      <c r="BB39" s="10">
        <f>IF(OR($C39="",$D39=""),"",IF(AND(DATE($B$1,1,1)+(50-1)*7&lt;=$D39,DATE($B$1,1,1)+50*7-1&gt;=$C39),1,""))</f>
        <v/>
      </c>
      <c r="BC39" s="10">
        <f>IF(OR($C39="",$D39=""),"",IF(AND(DATE($B$1,1,1)+(51-1)*7&lt;=$D39,DATE($B$1,1,1)+51*7-1&gt;=$C39),1,""))</f>
        <v/>
      </c>
      <c r="BD39" s="10">
        <f>IF(OR($C39="",$D39=""),"",IF(AND(DATE($B$1,1,1)+(52-1)*7&lt;=$D39,DATE($B$1,1,1)+52*7-1&gt;=$C39),1,""))</f>
        <v/>
      </c>
      <c r="BE39" s="10">
        <f>IF(OR($C39="",$D39=""),"",IF(AND(DATE($B$1,1,1)+(53-1)*7&lt;=$D39,DATE($B$1,1,1)+53*7-1&gt;=$C39),1,""))</f>
        <v/>
      </c>
      <c r="BF39" s="10">
        <f>IF(OR($C39="",$D39=""),"",IF(AND(DATE($B$1,1,1)+(54-1)*7&lt;=$D39,DATE($B$1,1,1)+54*7-1&gt;=$C39),1,""))</f>
        <v/>
      </c>
    </row>
    <row r="40">
      <c r="A40" s="6" t="n"/>
      <c r="B40" s="6" t="n"/>
      <c r="C40" s="11" t="n"/>
      <c r="D40" s="11" t="n"/>
      <c r="E40" s="10">
        <f>IF(OR($C40="",$D40=""),"",IF(AND(DATE($B$1,1,1)+(1-1)*7&lt;=$D40,DATE($B$1,1,1)+1*7-1&gt;=$C40),1,""))</f>
        <v/>
      </c>
      <c r="F40" s="10">
        <f>IF(OR($C40="",$D40=""),"",IF(AND(DATE($B$1,1,1)+(2-1)*7&lt;=$D40,DATE($B$1,1,1)+2*7-1&gt;=$C40),1,""))</f>
        <v/>
      </c>
      <c r="G40" s="10">
        <f>IF(OR($C40="",$D40=""),"",IF(AND(DATE($B$1,1,1)+(3-1)*7&lt;=$D40,DATE($B$1,1,1)+3*7-1&gt;=$C40),1,""))</f>
        <v/>
      </c>
      <c r="H40" s="10">
        <f>IF(OR($C40="",$D40=""),"",IF(AND(DATE($B$1,1,1)+(4-1)*7&lt;=$D40,DATE($B$1,1,1)+4*7-1&gt;=$C40),1,""))</f>
        <v/>
      </c>
      <c r="I40" s="10">
        <f>IF(OR($C40="",$D40=""),"",IF(AND(DATE($B$1,1,1)+(5-1)*7&lt;=$D40,DATE($B$1,1,1)+5*7-1&gt;=$C40),1,""))</f>
        <v/>
      </c>
      <c r="J40" s="10">
        <f>IF(OR($C40="",$D40=""),"",IF(AND(DATE($B$1,1,1)+(6-1)*7&lt;=$D40,DATE($B$1,1,1)+6*7-1&gt;=$C40),1,""))</f>
        <v/>
      </c>
      <c r="K40" s="10">
        <f>IF(OR($C40="",$D40=""),"",IF(AND(DATE($B$1,1,1)+(7-1)*7&lt;=$D40,DATE($B$1,1,1)+7*7-1&gt;=$C40),1,""))</f>
        <v/>
      </c>
      <c r="L40" s="10">
        <f>IF(OR($C40="",$D40=""),"",IF(AND(DATE($B$1,1,1)+(8-1)*7&lt;=$D40,DATE($B$1,1,1)+8*7-1&gt;=$C40),1,""))</f>
        <v/>
      </c>
      <c r="M40" s="10">
        <f>IF(OR($C40="",$D40=""),"",IF(AND(DATE($B$1,1,1)+(9-1)*7&lt;=$D40,DATE($B$1,1,1)+9*7-1&gt;=$C40),1,""))</f>
        <v/>
      </c>
      <c r="N40" s="10">
        <f>IF(OR($C40="",$D40=""),"",IF(AND(DATE($B$1,1,1)+(10-1)*7&lt;=$D40,DATE($B$1,1,1)+10*7-1&gt;=$C40),1,""))</f>
        <v/>
      </c>
      <c r="O40" s="10">
        <f>IF(OR($C40="",$D40=""),"",IF(AND(DATE($B$1,1,1)+(11-1)*7&lt;=$D40,DATE($B$1,1,1)+11*7-1&gt;=$C40),1,""))</f>
        <v/>
      </c>
      <c r="P40" s="10">
        <f>IF(OR($C40="",$D40=""),"",IF(AND(DATE($B$1,1,1)+(12-1)*7&lt;=$D40,DATE($B$1,1,1)+12*7-1&gt;=$C40),1,""))</f>
        <v/>
      </c>
      <c r="Q40" s="10">
        <f>IF(OR($C40="",$D40=""),"",IF(AND(DATE($B$1,1,1)+(13-1)*7&lt;=$D40,DATE($B$1,1,1)+13*7-1&gt;=$C40),1,""))</f>
        <v/>
      </c>
      <c r="R40" s="10">
        <f>IF(OR($C40="",$D40=""),"",IF(AND(DATE($B$1,1,1)+(14-1)*7&lt;=$D40,DATE($B$1,1,1)+14*7-1&gt;=$C40),1,""))</f>
        <v/>
      </c>
      <c r="S40" s="10">
        <f>IF(OR($C40="",$D40=""),"",IF(AND(DATE($B$1,1,1)+(15-1)*7&lt;=$D40,DATE($B$1,1,1)+15*7-1&gt;=$C40),1,""))</f>
        <v/>
      </c>
      <c r="T40" s="10">
        <f>IF(OR($C40="",$D40=""),"",IF(AND(DATE($B$1,1,1)+(16-1)*7&lt;=$D40,DATE($B$1,1,1)+16*7-1&gt;=$C40),1,""))</f>
        <v/>
      </c>
      <c r="U40" s="10">
        <f>IF(OR($C40="",$D40=""),"",IF(AND(DATE($B$1,1,1)+(17-1)*7&lt;=$D40,DATE($B$1,1,1)+17*7-1&gt;=$C40),1,""))</f>
        <v/>
      </c>
      <c r="V40" s="10">
        <f>IF(OR($C40="",$D40=""),"",IF(AND(DATE($B$1,1,1)+(18-1)*7&lt;=$D40,DATE($B$1,1,1)+18*7-1&gt;=$C40),1,""))</f>
        <v/>
      </c>
      <c r="W40" s="10">
        <f>IF(OR($C40="",$D40=""),"",IF(AND(DATE($B$1,1,1)+(19-1)*7&lt;=$D40,DATE($B$1,1,1)+19*7-1&gt;=$C40),1,""))</f>
        <v/>
      </c>
      <c r="X40" s="10">
        <f>IF(OR($C40="",$D40=""),"",IF(AND(DATE($B$1,1,1)+(20-1)*7&lt;=$D40,DATE($B$1,1,1)+20*7-1&gt;=$C40),1,""))</f>
        <v/>
      </c>
      <c r="Y40" s="10">
        <f>IF(OR($C40="",$D40=""),"",IF(AND(DATE($B$1,1,1)+(21-1)*7&lt;=$D40,DATE($B$1,1,1)+21*7-1&gt;=$C40),1,""))</f>
        <v/>
      </c>
      <c r="Z40" s="10">
        <f>IF(OR($C40="",$D40=""),"",IF(AND(DATE($B$1,1,1)+(22-1)*7&lt;=$D40,DATE($B$1,1,1)+22*7-1&gt;=$C40),1,""))</f>
        <v/>
      </c>
      <c r="AA40" s="10">
        <f>IF(OR($C40="",$D40=""),"",IF(AND(DATE($B$1,1,1)+(23-1)*7&lt;=$D40,DATE($B$1,1,1)+23*7-1&gt;=$C40),1,""))</f>
        <v/>
      </c>
      <c r="AB40" s="10">
        <f>IF(OR($C40="",$D40=""),"",IF(AND(DATE($B$1,1,1)+(24-1)*7&lt;=$D40,DATE($B$1,1,1)+24*7-1&gt;=$C40),1,""))</f>
        <v/>
      </c>
      <c r="AC40" s="10">
        <f>IF(OR($C40="",$D40=""),"",IF(AND(DATE($B$1,1,1)+(25-1)*7&lt;=$D40,DATE($B$1,1,1)+25*7-1&gt;=$C40),1,""))</f>
        <v/>
      </c>
      <c r="AD40" s="10">
        <f>IF(OR($C40="",$D40=""),"",IF(AND(DATE($B$1,1,1)+(26-1)*7&lt;=$D40,DATE($B$1,1,1)+26*7-1&gt;=$C40),1,""))</f>
        <v/>
      </c>
      <c r="AE40" s="10">
        <f>IF(OR($C40="",$D40=""),"",IF(AND(DATE($B$1,1,1)+(27-1)*7&lt;=$D40,DATE($B$1,1,1)+27*7-1&gt;=$C40),1,""))</f>
        <v/>
      </c>
      <c r="AF40" s="10">
        <f>IF(OR($C40="",$D40=""),"",IF(AND(DATE($B$1,1,1)+(28-1)*7&lt;=$D40,DATE($B$1,1,1)+28*7-1&gt;=$C40),1,""))</f>
        <v/>
      </c>
      <c r="AG40" s="10">
        <f>IF(OR($C40="",$D40=""),"",IF(AND(DATE($B$1,1,1)+(29-1)*7&lt;=$D40,DATE($B$1,1,1)+29*7-1&gt;=$C40),1,""))</f>
        <v/>
      </c>
      <c r="AH40" s="10">
        <f>IF(OR($C40="",$D40=""),"",IF(AND(DATE($B$1,1,1)+(30-1)*7&lt;=$D40,DATE($B$1,1,1)+30*7-1&gt;=$C40),1,""))</f>
        <v/>
      </c>
      <c r="AI40" s="10">
        <f>IF(OR($C40="",$D40=""),"",IF(AND(DATE($B$1,1,1)+(31-1)*7&lt;=$D40,DATE($B$1,1,1)+31*7-1&gt;=$C40),1,""))</f>
        <v/>
      </c>
      <c r="AJ40" s="10">
        <f>IF(OR($C40="",$D40=""),"",IF(AND(DATE($B$1,1,1)+(32-1)*7&lt;=$D40,DATE($B$1,1,1)+32*7-1&gt;=$C40),1,""))</f>
        <v/>
      </c>
      <c r="AK40" s="10">
        <f>IF(OR($C40="",$D40=""),"",IF(AND(DATE($B$1,1,1)+(33-1)*7&lt;=$D40,DATE($B$1,1,1)+33*7-1&gt;=$C40),1,""))</f>
        <v/>
      </c>
      <c r="AL40" s="10">
        <f>IF(OR($C40="",$D40=""),"",IF(AND(DATE($B$1,1,1)+(34-1)*7&lt;=$D40,DATE($B$1,1,1)+34*7-1&gt;=$C40),1,""))</f>
        <v/>
      </c>
      <c r="AM40" s="10">
        <f>IF(OR($C40="",$D40=""),"",IF(AND(DATE($B$1,1,1)+(35-1)*7&lt;=$D40,DATE($B$1,1,1)+35*7-1&gt;=$C40),1,""))</f>
        <v/>
      </c>
      <c r="AN40" s="10">
        <f>IF(OR($C40="",$D40=""),"",IF(AND(DATE($B$1,1,1)+(36-1)*7&lt;=$D40,DATE($B$1,1,1)+36*7-1&gt;=$C40),1,""))</f>
        <v/>
      </c>
      <c r="AO40" s="10">
        <f>IF(OR($C40="",$D40=""),"",IF(AND(DATE($B$1,1,1)+(37-1)*7&lt;=$D40,DATE($B$1,1,1)+37*7-1&gt;=$C40),1,""))</f>
        <v/>
      </c>
      <c r="AP40" s="10">
        <f>IF(OR($C40="",$D40=""),"",IF(AND(DATE($B$1,1,1)+(38-1)*7&lt;=$D40,DATE($B$1,1,1)+38*7-1&gt;=$C40),1,""))</f>
        <v/>
      </c>
      <c r="AQ40" s="10">
        <f>IF(OR($C40="",$D40=""),"",IF(AND(DATE($B$1,1,1)+(39-1)*7&lt;=$D40,DATE($B$1,1,1)+39*7-1&gt;=$C40),1,""))</f>
        <v/>
      </c>
      <c r="AR40" s="10">
        <f>IF(OR($C40="",$D40=""),"",IF(AND(DATE($B$1,1,1)+(40-1)*7&lt;=$D40,DATE($B$1,1,1)+40*7-1&gt;=$C40),1,""))</f>
        <v/>
      </c>
      <c r="AS40" s="10">
        <f>IF(OR($C40="",$D40=""),"",IF(AND(DATE($B$1,1,1)+(41-1)*7&lt;=$D40,DATE($B$1,1,1)+41*7-1&gt;=$C40),1,""))</f>
        <v/>
      </c>
      <c r="AT40" s="10">
        <f>IF(OR($C40="",$D40=""),"",IF(AND(DATE($B$1,1,1)+(42-1)*7&lt;=$D40,DATE($B$1,1,1)+42*7-1&gt;=$C40),1,""))</f>
        <v/>
      </c>
      <c r="AU40" s="10">
        <f>IF(OR($C40="",$D40=""),"",IF(AND(DATE($B$1,1,1)+(43-1)*7&lt;=$D40,DATE($B$1,1,1)+43*7-1&gt;=$C40),1,""))</f>
        <v/>
      </c>
      <c r="AV40" s="10">
        <f>IF(OR($C40="",$D40=""),"",IF(AND(DATE($B$1,1,1)+(44-1)*7&lt;=$D40,DATE($B$1,1,1)+44*7-1&gt;=$C40),1,""))</f>
        <v/>
      </c>
      <c r="AW40" s="10">
        <f>IF(OR($C40="",$D40=""),"",IF(AND(DATE($B$1,1,1)+(45-1)*7&lt;=$D40,DATE($B$1,1,1)+45*7-1&gt;=$C40),1,""))</f>
        <v/>
      </c>
      <c r="AX40" s="10">
        <f>IF(OR($C40="",$D40=""),"",IF(AND(DATE($B$1,1,1)+(46-1)*7&lt;=$D40,DATE($B$1,1,1)+46*7-1&gt;=$C40),1,""))</f>
        <v/>
      </c>
      <c r="AY40" s="10">
        <f>IF(OR($C40="",$D40=""),"",IF(AND(DATE($B$1,1,1)+(47-1)*7&lt;=$D40,DATE($B$1,1,1)+47*7-1&gt;=$C40),1,""))</f>
        <v/>
      </c>
      <c r="AZ40" s="10">
        <f>IF(OR($C40="",$D40=""),"",IF(AND(DATE($B$1,1,1)+(48-1)*7&lt;=$D40,DATE($B$1,1,1)+48*7-1&gt;=$C40),1,""))</f>
        <v/>
      </c>
      <c r="BA40" s="10">
        <f>IF(OR($C40="",$D40=""),"",IF(AND(DATE($B$1,1,1)+(49-1)*7&lt;=$D40,DATE($B$1,1,1)+49*7-1&gt;=$C40),1,""))</f>
        <v/>
      </c>
      <c r="BB40" s="10">
        <f>IF(OR($C40="",$D40=""),"",IF(AND(DATE($B$1,1,1)+(50-1)*7&lt;=$D40,DATE($B$1,1,1)+50*7-1&gt;=$C40),1,""))</f>
        <v/>
      </c>
      <c r="BC40" s="10">
        <f>IF(OR($C40="",$D40=""),"",IF(AND(DATE($B$1,1,1)+(51-1)*7&lt;=$D40,DATE($B$1,1,1)+51*7-1&gt;=$C40),1,""))</f>
        <v/>
      </c>
      <c r="BD40" s="10">
        <f>IF(OR($C40="",$D40=""),"",IF(AND(DATE($B$1,1,1)+(52-1)*7&lt;=$D40,DATE($B$1,1,1)+52*7-1&gt;=$C40),1,""))</f>
        <v/>
      </c>
      <c r="BE40" s="10">
        <f>IF(OR($C40="",$D40=""),"",IF(AND(DATE($B$1,1,1)+(53-1)*7&lt;=$D40,DATE($B$1,1,1)+53*7-1&gt;=$C40),1,""))</f>
        <v/>
      </c>
      <c r="BF40" s="10">
        <f>IF(OR($C40="",$D40=""),"",IF(AND(DATE($B$1,1,1)+(54-1)*7&lt;=$D40,DATE($B$1,1,1)+54*7-1&gt;=$C40),1,""))</f>
        <v/>
      </c>
    </row>
    <row r="41">
      <c r="A41" s="6" t="n"/>
      <c r="B41" s="6" t="n"/>
      <c r="C41" s="11" t="n"/>
      <c r="D41" s="11" t="n"/>
      <c r="E41" s="10">
        <f>IF(OR($C41="",$D41=""),"",IF(AND(DATE($B$1,1,1)+(1-1)*7&lt;=$D41,DATE($B$1,1,1)+1*7-1&gt;=$C41),1,""))</f>
        <v/>
      </c>
      <c r="F41" s="10">
        <f>IF(OR($C41="",$D41=""),"",IF(AND(DATE($B$1,1,1)+(2-1)*7&lt;=$D41,DATE($B$1,1,1)+2*7-1&gt;=$C41),1,""))</f>
        <v/>
      </c>
      <c r="G41" s="10">
        <f>IF(OR($C41="",$D41=""),"",IF(AND(DATE($B$1,1,1)+(3-1)*7&lt;=$D41,DATE($B$1,1,1)+3*7-1&gt;=$C41),1,""))</f>
        <v/>
      </c>
      <c r="H41" s="10">
        <f>IF(OR($C41="",$D41=""),"",IF(AND(DATE($B$1,1,1)+(4-1)*7&lt;=$D41,DATE($B$1,1,1)+4*7-1&gt;=$C41),1,""))</f>
        <v/>
      </c>
      <c r="I41" s="10">
        <f>IF(OR($C41="",$D41=""),"",IF(AND(DATE($B$1,1,1)+(5-1)*7&lt;=$D41,DATE($B$1,1,1)+5*7-1&gt;=$C41),1,""))</f>
        <v/>
      </c>
      <c r="J41" s="10">
        <f>IF(OR($C41="",$D41=""),"",IF(AND(DATE($B$1,1,1)+(6-1)*7&lt;=$D41,DATE($B$1,1,1)+6*7-1&gt;=$C41),1,""))</f>
        <v/>
      </c>
      <c r="K41" s="10">
        <f>IF(OR($C41="",$D41=""),"",IF(AND(DATE($B$1,1,1)+(7-1)*7&lt;=$D41,DATE($B$1,1,1)+7*7-1&gt;=$C41),1,""))</f>
        <v/>
      </c>
      <c r="L41" s="10">
        <f>IF(OR($C41="",$D41=""),"",IF(AND(DATE($B$1,1,1)+(8-1)*7&lt;=$D41,DATE($B$1,1,1)+8*7-1&gt;=$C41),1,""))</f>
        <v/>
      </c>
      <c r="M41" s="10">
        <f>IF(OR($C41="",$D41=""),"",IF(AND(DATE($B$1,1,1)+(9-1)*7&lt;=$D41,DATE($B$1,1,1)+9*7-1&gt;=$C41),1,""))</f>
        <v/>
      </c>
      <c r="N41" s="10">
        <f>IF(OR($C41="",$D41=""),"",IF(AND(DATE($B$1,1,1)+(10-1)*7&lt;=$D41,DATE($B$1,1,1)+10*7-1&gt;=$C41),1,""))</f>
        <v/>
      </c>
      <c r="O41" s="10">
        <f>IF(OR($C41="",$D41=""),"",IF(AND(DATE($B$1,1,1)+(11-1)*7&lt;=$D41,DATE($B$1,1,1)+11*7-1&gt;=$C41),1,""))</f>
        <v/>
      </c>
      <c r="P41" s="10">
        <f>IF(OR($C41="",$D41=""),"",IF(AND(DATE($B$1,1,1)+(12-1)*7&lt;=$D41,DATE($B$1,1,1)+12*7-1&gt;=$C41),1,""))</f>
        <v/>
      </c>
      <c r="Q41" s="10">
        <f>IF(OR($C41="",$D41=""),"",IF(AND(DATE($B$1,1,1)+(13-1)*7&lt;=$D41,DATE($B$1,1,1)+13*7-1&gt;=$C41),1,""))</f>
        <v/>
      </c>
      <c r="R41" s="10">
        <f>IF(OR($C41="",$D41=""),"",IF(AND(DATE($B$1,1,1)+(14-1)*7&lt;=$D41,DATE($B$1,1,1)+14*7-1&gt;=$C41),1,""))</f>
        <v/>
      </c>
      <c r="S41" s="10">
        <f>IF(OR($C41="",$D41=""),"",IF(AND(DATE($B$1,1,1)+(15-1)*7&lt;=$D41,DATE($B$1,1,1)+15*7-1&gt;=$C41),1,""))</f>
        <v/>
      </c>
      <c r="T41" s="10">
        <f>IF(OR($C41="",$D41=""),"",IF(AND(DATE($B$1,1,1)+(16-1)*7&lt;=$D41,DATE($B$1,1,1)+16*7-1&gt;=$C41),1,""))</f>
        <v/>
      </c>
      <c r="U41" s="10">
        <f>IF(OR($C41="",$D41=""),"",IF(AND(DATE($B$1,1,1)+(17-1)*7&lt;=$D41,DATE($B$1,1,1)+17*7-1&gt;=$C41),1,""))</f>
        <v/>
      </c>
      <c r="V41" s="10">
        <f>IF(OR($C41="",$D41=""),"",IF(AND(DATE($B$1,1,1)+(18-1)*7&lt;=$D41,DATE($B$1,1,1)+18*7-1&gt;=$C41),1,""))</f>
        <v/>
      </c>
      <c r="W41" s="10">
        <f>IF(OR($C41="",$D41=""),"",IF(AND(DATE($B$1,1,1)+(19-1)*7&lt;=$D41,DATE($B$1,1,1)+19*7-1&gt;=$C41),1,""))</f>
        <v/>
      </c>
      <c r="X41" s="10">
        <f>IF(OR($C41="",$D41=""),"",IF(AND(DATE($B$1,1,1)+(20-1)*7&lt;=$D41,DATE($B$1,1,1)+20*7-1&gt;=$C41),1,""))</f>
        <v/>
      </c>
      <c r="Y41" s="10">
        <f>IF(OR($C41="",$D41=""),"",IF(AND(DATE($B$1,1,1)+(21-1)*7&lt;=$D41,DATE($B$1,1,1)+21*7-1&gt;=$C41),1,""))</f>
        <v/>
      </c>
      <c r="Z41" s="10">
        <f>IF(OR($C41="",$D41=""),"",IF(AND(DATE($B$1,1,1)+(22-1)*7&lt;=$D41,DATE($B$1,1,1)+22*7-1&gt;=$C41),1,""))</f>
        <v/>
      </c>
      <c r="AA41" s="10">
        <f>IF(OR($C41="",$D41=""),"",IF(AND(DATE($B$1,1,1)+(23-1)*7&lt;=$D41,DATE($B$1,1,1)+23*7-1&gt;=$C41),1,""))</f>
        <v/>
      </c>
      <c r="AB41" s="10">
        <f>IF(OR($C41="",$D41=""),"",IF(AND(DATE($B$1,1,1)+(24-1)*7&lt;=$D41,DATE($B$1,1,1)+24*7-1&gt;=$C41),1,""))</f>
        <v/>
      </c>
      <c r="AC41" s="10">
        <f>IF(OR($C41="",$D41=""),"",IF(AND(DATE($B$1,1,1)+(25-1)*7&lt;=$D41,DATE($B$1,1,1)+25*7-1&gt;=$C41),1,""))</f>
        <v/>
      </c>
      <c r="AD41" s="10">
        <f>IF(OR($C41="",$D41=""),"",IF(AND(DATE($B$1,1,1)+(26-1)*7&lt;=$D41,DATE($B$1,1,1)+26*7-1&gt;=$C41),1,""))</f>
        <v/>
      </c>
      <c r="AE41" s="10">
        <f>IF(OR($C41="",$D41=""),"",IF(AND(DATE($B$1,1,1)+(27-1)*7&lt;=$D41,DATE($B$1,1,1)+27*7-1&gt;=$C41),1,""))</f>
        <v/>
      </c>
      <c r="AF41" s="10">
        <f>IF(OR($C41="",$D41=""),"",IF(AND(DATE($B$1,1,1)+(28-1)*7&lt;=$D41,DATE($B$1,1,1)+28*7-1&gt;=$C41),1,""))</f>
        <v/>
      </c>
      <c r="AG41" s="10">
        <f>IF(OR($C41="",$D41=""),"",IF(AND(DATE($B$1,1,1)+(29-1)*7&lt;=$D41,DATE($B$1,1,1)+29*7-1&gt;=$C41),1,""))</f>
        <v/>
      </c>
      <c r="AH41" s="10">
        <f>IF(OR($C41="",$D41=""),"",IF(AND(DATE($B$1,1,1)+(30-1)*7&lt;=$D41,DATE($B$1,1,1)+30*7-1&gt;=$C41),1,""))</f>
        <v/>
      </c>
      <c r="AI41" s="10">
        <f>IF(OR($C41="",$D41=""),"",IF(AND(DATE($B$1,1,1)+(31-1)*7&lt;=$D41,DATE($B$1,1,1)+31*7-1&gt;=$C41),1,""))</f>
        <v/>
      </c>
      <c r="AJ41" s="10">
        <f>IF(OR($C41="",$D41=""),"",IF(AND(DATE($B$1,1,1)+(32-1)*7&lt;=$D41,DATE($B$1,1,1)+32*7-1&gt;=$C41),1,""))</f>
        <v/>
      </c>
      <c r="AK41" s="10">
        <f>IF(OR($C41="",$D41=""),"",IF(AND(DATE($B$1,1,1)+(33-1)*7&lt;=$D41,DATE($B$1,1,1)+33*7-1&gt;=$C41),1,""))</f>
        <v/>
      </c>
      <c r="AL41" s="10">
        <f>IF(OR($C41="",$D41=""),"",IF(AND(DATE($B$1,1,1)+(34-1)*7&lt;=$D41,DATE($B$1,1,1)+34*7-1&gt;=$C41),1,""))</f>
        <v/>
      </c>
      <c r="AM41" s="10">
        <f>IF(OR($C41="",$D41=""),"",IF(AND(DATE($B$1,1,1)+(35-1)*7&lt;=$D41,DATE($B$1,1,1)+35*7-1&gt;=$C41),1,""))</f>
        <v/>
      </c>
      <c r="AN41" s="10">
        <f>IF(OR($C41="",$D41=""),"",IF(AND(DATE($B$1,1,1)+(36-1)*7&lt;=$D41,DATE($B$1,1,1)+36*7-1&gt;=$C41),1,""))</f>
        <v/>
      </c>
      <c r="AO41" s="10">
        <f>IF(OR($C41="",$D41=""),"",IF(AND(DATE($B$1,1,1)+(37-1)*7&lt;=$D41,DATE($B$1,1,1)+37*7-1&gt;=$C41),1,""))</f>
        <v/>
      </c>
      <c r="AP41" s="10">
        <f>IF(OR($C41="",$D41=""),"",IF(AND(DATE($B$1,1,1)+(38-1)*7&lt;=$D41,DATE($B$1,1,1)+38*7-1&gt;=$C41),1,""))</f>
        <v/>
      </c>
      <c r="AQ41" s="10">
        <f>IF(OR($C41="",$D41=""),"",IF(AND(DATE($B$1,1,1)+(39-1)*7&lt;=$D41,DATE($B$1,1,1)+39*7-1&gt;=$C41),1,""))</f>
        <v/>
      </c>
      <c r="AR41" s="10">
        <f>IF(OR($C41="",$D41=""),"",IF(AND(DATE($B$1,1,1)+(40-1)*7&lt;=$D41,DATE($B$1,1,1)+40*7-1&gt;=$C41),1,""))</f>
        <v/>
      </c>
      <c r="AS41" s="10">
        <f>IF(OR($C41="",$D41=""),"",IF(AND(DATE($B$1,1,1)+(41-1)*7&lt;=$D41,DATE($B$1,1,1)+41*7-1&gt;=$C41),1,""))</f>
        <v/>
      </c>
      <c r="AT41" s="10">
        <f>IF(OR($C41="",$D41=""),"",IF(AND(DATE($B$1,1,1)+(42-1)*7&lt;=$D41,DATE($B$1,1,1)+42*7-1&gt;=$C41),1,""))</f>
        <v/>
      </c>
      <c r="AU41" s="10">
        <f>IF(OR($C41="",$D41=""),"",IF(AND(DATE($B$1,1,1)+(43-1)*7&lt;=$D41,DATE($B$1,1,1)+43*7-1&gt;=$C41),1,""))</f>
        <v/>
      </c>
      <c r="AV41" s="10">
        <f>IF(OR($C41="",$D41=""),"",IF(AND(DATE($B$1,1,1)+(44-1)*7&lt;=$D41,DATE($B$1,1,1)+44*7-1&gt;=$C41),1,""))</f>
        <v/>
      </c>
      <c r="AW41" s="10">
        <f>IF(OR($C41="",$D41=""),"",IF(AND(DATE($B$1,1,1)+(45-1)*7&lt;=$D41,DATE($B$1,1,1)+45*7-1&gt;=$C41),1,""))</f>
        <v/>
      </c>
      <c r="AX41" s="10">
        <f>IF(OR($C41="",$D41=""),"",IF(AND(DATE($B$1,1,1)+(46-1)*7&lt;=$D41,DATE($B$1,1,1)+46*7-1&gt;=$C41),1,""))</f>
        <v/>
      </c>
      <c r="AY41" s="10">
        <f>IF(OR($C41="",$D41=""),"",IF(AND(DATE($B$1,1,1)+(47-1)*7&lt;=$D41,DATE($B$1,1,1)+47*7-1&gt;=$C41),1,""))</f>
        <v/>
      </c>
      <c r="AZ41" s="10">
        <f>IF(OR($C41="",$D41=""),"",IF(AND(DATE($B$1,1,1)+(48-1)*7&lt;=$D41,DATE($B$1,1,1)+48*7-1&gt;=$C41),1,""))</f>
        <v/>
      </c>
      <c r="BA41" s="10">
        <f>IF(OR($C41="",$D41=""),"",IF(AND(DATE($B$1,1,1)+(49-1)*7&lt;=$D41,DATE($B$1,1,1)+49*7-1&gt;=$C41),1,""))</f>
        <v/>
      </c>
      <c r="BB41" s="10">
        <f>IF(OR($C41="",$D41=""),"",IF(AND(DATE($B$1,1,1)+(50-1)*7&lt;=$D41,DATE($B$1,1,1)+50*7-1&gt;=$C41),1,""))</f>
        <v/>
      </c>
      <c r="BC41" s="10">
        <f>IF(OR($C41="",$D41=""),"",IF(AND(DATE($B$1,1,1)+(51-1)*7&lt;=$D41,DATE($B$1,1,1)+51*7-1&gt;=$C41),1,""))</f>
        <v/>
      </c>
      <c r="BD41" s="10">
        <f>IF(OR($C41="",$D41=""),"",IF(AND(DATE($B$1,1,1)+(52-1)*7&lt;=$D41,DATE($B$1,1,1)+52*7-1&gt;=$C41),1,""))</f>
        <v/>
      </c>
      <c r="BE41" s="10">
        <f>IF(OR($C41="",$D41=""),"",IF(AND(DATE($B$1,1,1)+(53-1)*7&lt;=$D41,DATE($B$1,1,1)+53*7-1&gt;=$C41),1,""))</f>
        <v/>
      </c>
      <c r="BF41" s="10">
        <f>IF(OR($C41="",$D41=""),"",IF(AND(DATE($B$1,1,1)+(54-1)*7&lt;=$D41,DATE($B$1,1,1)+54*7-1&gt;=$C41),1,""))</f>
        <v/>
      </c>
    </row>
    <row r="42">
      <c r="A42" s="6" t="n"/>
      <c r="B42" s="6" t="n"/>
      <c r="C42" s="11" t="n"/>
      <c r="D42" s="11" t="n"/>
      <c r="E42" s="10">
        <f>IF(OR($C42="",$D42=""),"",IF(AND(DATE($B$1,1,1)+(1-1)*7&lt;=$D42,DATE($B$1,1,1)+1*7-1&gt;=$C42),1,""))</f>
        <v/>
      </c>
      <c r="F42" s="10">
        <f>IF(OR($C42="",$D42=""),"",IF(AND(DATE($B$1,1,1)+(2-1)*7&lt;=$D42,DATE($B$1,1,1)+2*7-1&gt;=$C42),1,""))</f>
        <v/>
      </c>
      <c r="G42" s="10">
        <f>IF(OR($C42="",$D42=""),"",IF(AND(DATE($B$1,1,1)+(3-1)*7&lt;=$D42,DATE($B$1,1,1)+3*7-1&gt;=$C42),1,""))</f>
        <v/>
      </c>
      <c r="H42" s="10">
        <f>IF(OR($C42="",$D42=""),"",IF(AND(DATE($B$1,1,1)+(4-1)*7&lt;=$D42,DATE($B$1,1,1)+4*7-1&gt;=$C42),1,""))</f>
        <v/>
      </c>
      <c r="I42" s="10">
        <f>IF(OR($C42="",$D42=""),"",IF(AND(DATE($B$1,1,1)+(5-1)*7&lt;=$D42,DATE($B$1,1,1)+5*7-1&gt;=$C42),1,""))</f>
        <v/>
      </c>
      <c r="J42" s="10">
        <f>IF(OR($C42="",$D42=""),"",IF(AND(DATE($B$1,1,1)+(6-1)*7&lt;=$D42,DATE($B$1,1,1)+6*7-1&gt;=$C42),1,""))</f>
        <v/>
      </c>
      <c r="K42" s="10">
        <f>IF(OR($C42="",$D42=""),"",IF(AND(DATE($B$1,1,1)+(7-1)*7&lt;=$D42,DATE($B$1,1,1)+7*7-1&gt;=$C42),1,""))</f>
        <v/>
      </c>
      <c r="L42" s="10">
        <f>IF(OR($C42="",$D42=""),"",IF(AND(DATE($B$1,1,1)+(8-1)*7&lt;=$D42,DATE($B$1,1,1)+8*7-1&gt;=$C42),1,""))</f>
        <v/>
      </c>
      <c r="M42" s="10">
        <f>IF(OR($C42="",$D42=""),"",IF(AND(DATE($B$1,1,1)+(9-1)*7&lt;=$D42,DATE($B$1,1,1)+9*7-1&gt;=$C42),1,""))</f>
        <v/>
      </c>
      <c r="N42" s="10">
        <f>IF(OR($C42="",$D42=""),"",IF(AND(DATE($B$1,1,1)+(10-1)*7&lt;=$D42,DATE($B$1,1,1)+10*7-1&gt;=$C42),1,""))</f>
        <v/>
      </c>
      <c r="O42" s="10">
        <f>IF(OR($C42="",$D42=""),"",IF(AND(DATE($B$1,1,1)+(11-1)*7&lt;=$D42,DATE($B$1,1,1)+11*7-1&gt;=$C42),1,""))</f>
        <v/>
      </c>
      <c r="P42" s="10">
        <f>IF(OR($C42="",$D42=""),"",IF(AND(DATE($B$1,1,1)+(12-1)*7&lt;=$D42,DATE($B$1,1,1)+12*7-1&gt;=$C42),1,""))</f>
        <v/>
      </c>
      <c r="Q42" s="10">
        <f>IF(OR($C42="",$D42=""),"",IF(AND(DATE($B$1,1,1)+(13-1)*7&lt;=$D42,DATE($B$1,1,1)+13*7-1&gt;=$C42),1,""))</f>
        <v/>
      </c>
      <c r="R42" s="10">
        <f>IF(OR($C42="",$D42=""),"",IF(AND(DATE($B$1,1,1)+(14-1)*7&lt;=$D42,DATE($B$1,1,1)+14*7-1&gt;=$C42),1,""))</f>
        <v/>
      </c>
      <c r="S42" s="10">
        <f>IF(OR($C42="",$D42=""),"",IF(AND(DATE($B$1,1,1)+(15-1)*7&lt;=$D42,DATE($B$1,1,1)+15*7-1&gt;=$C42),1,""))</f>
        <v/>
      </c>
      <c r="T42" s="10">
        <f>IF(OR($C42="",$D42=""),"",IF(AND(DATE($B$1,1,1)+(16-1)*7&lt;=$D42,DATE($B$1,1,1)+16*7-1&gt;=$C42),1,""))</f>
        <v/>
      </c>
      <c r="U42" s="10">
        <f>IF(OR($C42="",$D42=""),"",IF(AND(DATE($B$1,1,1)+(17-1)*7&lt;=$D42,DATE($B$1,1,1)+17*7-1&gt;=$C42),1,""))</f>
        <v/>
      </c>
      <c r="V42" s="10">
        <f>IF(OR($C42="",$D42=""),"",IF(AND(DATE($B$1,1,1)+(18-1)*7&lt;=$D42,DATE($B$1,1,1)+18*7-1&gt;=$C42),1,""))</f>
        <v/>
      </c>
      <c r="W42" s="10">
        <f>IF(OR($C42="",$D42=""),"",IF(AND(DATE($B$1,1,1)+(19-1)*7&lt;=$D42,DATE($B$1,1,1)+19*7-1&gt;=$C42),1,""))</f>
        <v/>
      </c>
      <c r="X42" s="10">
        <f>IF(OR($C42="",$D42=""),"",IF(AND(DATE($B$1,1,1)+(20-1)*7&lt;=$D42,DATE($B$1,1,1)+20*7-1&gt;=$C42),1,""))</f>
        <v/>
      </c>
      <c r="Y42" s="10">
        <f>IF(OR($C42="",$D42=""),"",IF(AND(DATE($B$1,1,1)+(21-1)*7&lt;=$D42,DATE($B$1,1,1)+21*7-1&gt;=$C42),1,""))</f>
        <v/>
      </c>
      <c r="Z42" s="10">
        <f>IF(OR($C42="",$D42=""),"",IF(AND(DATE($B$1,1,1)+(22-1)*7&lt;=$D42,DATE($B$1,1,1)+22*7-1&gt;=$C42),1,""))</f>
        <v/>
      </c>
      <c r="AA42" s="10">
        <f>IF(OR($C42="",$D42=""),"",IF(AND(DATE($B$1,1,1)+(23-1)*7&lt;=$D42,DATE($B$1,1,1)+23*7-1&gt;=$C42),1,""))</f>
        <v/>
      </c>
      <c r="AB42" s="10">
        <f>IF(OR($C42="",$D42=""),"",IF(AND(DATE($B$1,1,1)+(24-1)*7&lt;=$D42,DATE($B$1,1,1)+24*7-1&gt;=$C42),1,""))</f>
        <v/>
      </c>
      <c r="AC42" s="10">
        <f>IF(OR($C42="",$D42=""),"",IF(AND(DATE($B$1,1,1)+(25-1)*7&lt;=$D42,DATE($B$1,1,1)+25*7-1&gt;=$C42),1,""))</f>
        <v/>
      </c>
      <c r="AD42" s="10">
        <f>IF(OR($C42="",$D42=""),"",IF(AND(DATE($B$1,1,1)+(26-1)*7&lt;=$D42,DATE($B$1,1,1)+26*7-1&gt;=$C42),1,""))</f>
        <v/>
      </c>
      <c r="AE42" s="10">
        <f>IF(OR($C42="",$D42=""),"",IF(AND(DATE($B$1,1,1)+(27-1)*7&lt;=$D42,DATE($B$1,1,1)+27*7-1&gt;=$C42),1,""))</f>
        <v/>
      </c>
      <c r="AF42" s="10">
        <f>IF(OR($C42="",$D42=""),"",IF(AND(DATE($B$1,1,1)+(28-1)*7&lt;=$D42,DATE($B$1,1,1)+28*7-1&gt;=$C42),1,""))</f>
        <v/>
      </c>
      <c r="AG42" s="10">
        <f>IF(OR($C42="",$D42=""),"",IF(AND(DATE($B$1,1,1)+(29-1)*7&lt;=$D42,DATE($B$1,1,1)+29*7-1&gt;=$C42),1,""))</f>
        <v/>
      </c>
      <c r="AH42" s="10">
        <f>IF(OR($C42="",$D42=""),"",IF(AND(DATE($B$1,1,1)+(30-1)*7&lt;=$D42,DATE($B$1,1,1)+30*7-1&gt;=$C42),1,""))</f>
        <v/>
      </c>
      <c r="AI42" s="10">
        <f>IF(OR($C42="",$D42=""),"",IF(AND(DATE($B$1,1,1)+(31-1)*7&lt;=$D42,DATE($B$1,1,1)+31*7-1&gt;=$C42),1,""))</f>
        <v/>
      </c>
      <c r="AJ42" s="10">
        <f>IF(OR($C42="",$D42=""),"",IF(AND(DATE($B$1,1,1)+(32-1)*7&lt;=$D42,DATE($B$1,1,1)+32*7-1&gt;=$C42),1,""))</f>
        <v/>
      </c>
      <c r="AK42" s="10">
        <f>IF(OR($C42="",$D42=""),"",IF(AND(DATE($B$1,1,1)+(33-1)*7&lt;=$D42,DATE($B$1,1,1)+33*7-1&gt;=$C42),1,""))</f>
        <v/>
      </c>
      <c r="AL42" s="10">
        <f>IF(OR($C42="",$D42=""),"",IF(AND(DATE($B$1,1,1)+(34-1)*7&lt;=$D42,DATE($B$1,1,1)+34*7-1&gt;=$C42),1,""))</f>
        <v/>
      </c>
      <c r="AM42" s="10">
        <f>IF(OR($C42="",$D42=""),"",IF(AND(DATE($B$1,1,1)+(35-1)*7&lt;=$D42,DATE($B$1,1,1)+35*7-1&gt;=$C42),1,""))</f>
        <v/>
      </c>
      <c r="AN42" s="10">
        <f>IF(OR($C42="",$D42=""),"",IF(AND(DATE($B$1,1,1)+(36-1)*7&lt;=$D42,DATE($B$1,1,1)+36*7-1&gt;=$C42),1,""))</f>
        <v/>
      </c>
      <c r="AO42" s="10">
        <f>IF(OR($C42="",$D42=""),"",IF(AND(DATE($B$1,1,1)+(37-1)*7&lt;=$D42,DATE($B$1,1,1)+37*7-1&gt;=$C42),1,""))</f>
        <v/>
      </c>
      <c r="AP42" s="10">
        <f>IF(OR($C42="",$D42=""),"",IF(AND(DATE($B$1,1,1)+(38-1)*7&lt;=$D42,DATE($B$1,1,1)+38*7-1&gt;=$C42),1,""))</f>
        <v/>
      </c>
      <c r="AQ42" s="10">
        <f>IF(OR($C42="",$D42=""),"",IF(AND(DATE($B$1,1,1)+(39-1)*7&lt;=$D42,DATE($B$1,1,1)+39*7-1&gt;=$C42),1,""))</f>
        <v/>
      </c>
      <c r="AR42" s="10">
        <f>IF(OR($C42="",$D42=""),"",IF(AND(DATE($B$1,1,1)+(40-1)*7&lt;=$D42,DATE($B$1,1,1)+40*7-1&gt;=$C42),1,""))</f>
        <v/>
      </c>
      <c r="AS42" s="10">
        <f>IF(OR($C42="",$D42=""),"",IF(AND(DATE($B$1,1,1)+(41-1)*7&lt;=$D42,DATE($B$1,1,1)+41*7-1&gt;=$C42),1,""))</f>
        <v/>
      </c>
      <c r="AT42" s="10">
        <f>IF(OR($C42="",$D42=""),"",IF(AND(DATE($B$1,1,1)+(42-1)*7&lt;=$D42,DATE($B$1,1,1)+42*7-1&gt;=$C42),1,""))</f>
        <v/>
      </c>
      <c r="AU42" s="10">
        <f>IF(OR($C42="",$D42=""),"",IF(AND(DATE($B$1,1,1)+(43-1)*7&lt;=$D42,DATE($B$1,1,1)+43*7-1&gt;=$C42),1,""))</f>
        <v/>
      </c>
      <c r="AV42" s="10">
        <f>IF(OR($C42="",$D42=""),"",IF(AND(DATE($B$1,1,1)+(44-1)*7&lt;=$D42,DATE($B$1,1,1)+44*7-1&gt;=$C42),1,""))</f>
        <v/>
      </c>
      <c r="AW42" s="10">
        <f>IF(OR($C42="",$D42=""),"",IF(AND(DATE($B$1,1,1)+(45-1)*7&lt;=$D42,DATE($B$1,1,1)+45*7-1&gt;=$C42),1,""))</f>
        <v/>
      </c>
      <c r="AX42" s="10">
        <f>IF(OR($C42="",$D42=""),"",IF(AND(DATE($B$1,1,1)+(46-1)*7&lt;=$D42,DATE($B$1,1,1)+46*7-1&gt;=$C42),1,""))</f>
        <v/>
      </c>
      <c r="AY42" s="10">
        <f>IF(OR($C42="",$D42=""),"",IF(AND(DATE($B$1,1,1)+(47-1)*7&lt;=$D42,DATE($B$1,1,1)+47*7-1&gt;=$C42),1,""))</f>
        <v/>
      </c>
      <c r="AZ42" s="10">
        <f>IF(OR($C42="",$D42=""),"",IF(AND(DATE($B$1,1,1)+(48-1)*7&lt;=$D42,DATE($B$1,1,1)+48*7-1&gt;=$C42),1,""))</f>
        <v/>
      </c>
      <c r="BA42" s="10">
        <f>IF(OR($C42="",$D42=""),"",IF(AND(DATE($B$1,1,1)+(49-1)*7&lt;=$D42,DATE($B$1,1,1)+49*7-1&gt;=$C42),1,""))</f>
        <v/>
      </c>
      <c r="BB42" s="10">
        <f>IF(OR($C42="",$D42=""),"",IF(AND(DATE($B$1,1,1)+(50-1)*7&lt;=$D42,DATE($B$1,1,1)+50*7-1&gt;=$C42),1,""))</f>
        <v/>
      </c>
      <c r="BC42" s="10">
        <f>IF(OR($C42="",$D42=""),"",IF(AND(DATE($B$1,1,1)+(51-1)*7&lt;=$D42,DATE($B$1,1,1)+51*7-1&gt;=$C42),1,""))</f>
        <v/>
      </c>
      <c r="BD42" s="10">
        <f>IF(OR($C42="",$D42=""),"",IF(AND(DATE($B$1,1,1)+(52-1)*7&lt;=$D42,DATE($B$1,1,1)+52*7-1&gt;=$C42),1,""))</f>
        <v/>
      </c>
      <c r="BE42" s="10">
        <f>IF(OR($C42="",$D42=""),"",IF(AND(DATE($B$1,1,1)+(53-1)*7&lt;=$D42,DATE($B$1,1,1)+53*7-1&gt;=$C42),1,""))</f>
        <v/>
      </c>
      <c r="BF42" s="10">
        <f>IF(OR($C42="",$D42=""),"",IF(AND(DATE($B$1,1,1)+(54-1)*7&lt;=$D42,DATE($B$1,1,1)+54*7-1&gt;=$C42),1,""))</f>
        <v/>
      </c>
    </row>
    <row r="43">
      <c r="A43" s="6" t="n"/>
      <c r="B43" s="6" t="n"/>
      <c r="C43" s="11" t="n"/>
      <c r="D43" s="11" t="n"/>
      <c r="E43" s="10">
        <f>IF(OR($C43="",$D43=""),"",IF(AND(DATE($B$1,1,1)+(1-1)*7&lt;=$D43,DATE($B$1,1,1)+1*7-1&gt;=$C43),1,""))</f>
        <v/>
      </c>
      <c r="F43" s="10">
        <f>IF(OR($C43="",$D43=""),"",IF(AND(DATE($B$1,1,1)+(2-1)*7&lt;=$D43,DATE($B$1,1,1)+2*7-1&gt;=$C43),1,""))</f>
        <v/>
      </c>
      <c r="G43" s="10">
        <f>IF(OR($C43="",$D43=""),"",IF(AND(DATE($B$1,1,1)+(3-1)*7&lt;=$D43,DATE($B$1,1,1)+3*7-1&gt;=$C43),1,""))</f>
        <v/>
      </c>
      <c r="H43" s="10">
        <f>IF(OR($C43="",$D43=""),"",IF(AND(DATE($B$1,1,1)+(4-1)*7&lt;=$D43,DATE($B$1,1,1)+4*7-1&gt;=$C43),1,""))</f>
        <v/>
      </c>
      <c r="I43" s="10">
        <f>IF(OR($C43="",$D43=""),"",IF(AND(DATE($B$1,1,1)+(5-1)*7&lt;=$D43,DATE($B$1,1,1)+5*7-1&gt;=$C43),1,""))</f>
        <v/>
      </c>
      <c r="J43" s="10">
        <f>IF(OR($C43="",$D43=""),"",IF(AND(DATE($B$1,1,1)+(6-1)*7&lt;=$D43,DATE($B$1,1,1)+6*7-1&gt;=$C43),1,""))</f>
        <v/>
      </c>
      <c r="K43" s="10">
        <f>IF(OR($C43="",$D43=""),"",IF(AND(DATE($B$1,1,1)+(7-1)*7&lt;=$D43,DATE($B$1,1,1)+7*7-1&gt;=$C43),1,""))</f>
        <v/>
      </c>
      <c r="L43" s="10">
        <f>IF(OR($C43="",$D43=""),"",IF(AND(DATE($B$1,1,1)+(8-1)*7&lt;=$D43,DATE($B$1,1,1)+8*7-1&gt;=$C43),1,""))</f>
        <v/>
      </c>
      <c r="M43" s="10">
        <f>IF(OR($C43="",$D43=""),"",IF(AND(DATE($B$1,1,1)+(9-1)*7&lt;=$D43,DATE($B$1,1,1)+9*7-1&gt;=$C43),1,""))</f>
        <v/>
      </c>
      <c r="N43" s="10">
        <f>IF(OR($C43="",$D43=""),"",IF(AND(DATE($B$1,1,1)+(10-1)*7&lt;=$D43,DATE($B$1,1,1)+10*7-1&gt;=$C43),1,""))</f>
        <v/>
      </c>
      <c r="O43" s="10">
        <f>IF(OR($C43="",$D43=""),"",IF(AND(DATE($B$1,1,1)+(11-1)*7&lt;=$D43,DATE($B$1,1,1)+11*7-1&gt;=$C43),1,""))</f>
        <v/>
      </c>
      <c r="P43" s="10">
        <f>IF(OR($C43="",$D43=""),"",IF(AND(DATE($B$1,1,1)+(12-1)*7&lt;=$D43,DATE($B$1,1,1)+12*7-1&gt;=$C43),1,""))</f>
        <v/>
      </c>
      <c r="Q43" s="10">
        <f>IF(OR($C43="",$D43=""),"",IF(AND(DATE($B$1,1,1)+(13-1)*7&lt;=$D43,DATE($B$1,1,1)+13*7-1&gt;=$C43),1,""))</f>
        <v/>
      </c>
      <c r="R43" s="10">
        <f>IF(OR($C43="",$D43=""),"",IF(AND(DATE($B$1,1,1)+(14-1)*7&lt;=$D43,DATE($B$1,1,1)+14*7-1&gt;=$C43),1,""))</f>
        <v/>
      </c>
      <c r="S43" s="10">
        <f>IF(OR($C43="",$D43=""),"",IF(AND(DATE($B$1,1,1)+(15-1)*7&lt;=$D43,DATE($B$1,1,1)+15*7-1&gt;=$C43),1,""))</f>
        <v/>
      </c>
      <c r="T43" s="10">
        <f>IF(OR($C43="",$D43=""),"",IF(AND(DATE($B$1,1,1)+(16-1)*7&lt;=$D43,DATE($B$1,1,1)+16*7-1&gt;=$C43),1,""))</f>
        <v/>
      </c>
      <c r="U43" s="10">
        <f>IF(OR($C43="",$D43=""),"",IF(AND(DATE($B$1,1,1)+(17-1)*7&lt;=$D43,DATE($B$1,1,1)+17*7-1&gt;=$C43),1,""))</f>
        <v/>
      </c>
      <c r="V43" s="10">
        <f>IF(OR($C43="",$D43=""),"",IF(AND(DATE($B$1,1,1)+(18-1)*7&lt;=$D43,DATE($B$1,1,1)+18*7-1&gt;=$C43),1,""))</f>
        <v/>
      </c>
      <c r="W43" s="10">
        <f>IF(OR($C43="",$D43=""),"",IF(AND(DATE($B$1,1,1)+(19-1)*7&lt;=$D43,DATE($B$1,1,1)+19*7-1&gt;=$C43),1,""))</f>
        <v/>
      </c>
      <c r="X43" s="10">
        <f>IF(OR($C43="",$D43=""),"",IF(AND(DATE($B$1,1,1)+(20-1)*7&lt;=$D43,DATE($B$1,1,1)+20*7-1&gt;=$C43),1,""))</f>
        <v/>
      </c>
      <c r="Y43" s="10">
        <f>IF(OR($C43="",$D43=""),"",IF(AND(DATE($B$1,1,1)+(21-1)*7&lt;=$D43,DATE($B$1,1,1)+21*7-1&gt;=$C43),1,""))</f>
        <v/>
      </c>
      <c r="Z43" s="10">
        <f>IF(OR($C43="",$D43=""),"",IF(AND(DATE($B$1,1,1)+(22-1)*7&lt;=$D43,DATE($B$1,1,1)+22*7-1&gt;=$C43),1,""))</f>
        <v/>
      </c>
      <c r="AA43" s="10">
        <f>IF(OR($C43="",$D43=""),"",IF(AND(DATE($B$1,1,1)+(23-1)*7&lt;=$D43,DATE($B$1,1,1)+23*7-1&gt;=$C43),1,""))</f>
        <v/>
      </c>
      <c r="AB43" s="10">
        <f>IF(OR($C43="",$D43=""),"",IF(AND(DATE($B$1,1,1)+(24-1)*7&lt;=$D43,DATE($B$1,1,1)+24*7-1&gt;=$C43),1,""))</f>
        <v/>
      </c>
      <c r="AC43" s="10">
        <f>IF(OR($C43="",$D43=""),"",IF(AND(DATE($B$1,1,1)+(25-1)*7&lt;=$D43,DATE($B$1,1,1)+25*7-1&gt;=$C43),1,""))</f>
        <v/>
      </c>
      <c r="AD43" s="10">
        <f>IF(OR($C43="",$D43=""),"",IF(AND(DATE($B$1,1,1)+(26-1)*7&lt;=$D43,DATE($B$1,1,1)+26*7-1&gt;=$C43),1,""))</f>
        <v/>
      </c>
      <c r="AE43" s="10">
        <f>IF(OR($C43="",$D43=""),"",IF(AND(DATE($B$1,1,1)+(27-1)*7&lt;=$D43,DATE($B$1,1,1)+27*7-1&gt;=$C43),1,""))</f>
        <v/>
      </c>
      <c r="AF43" s="10">
        <f>IF(OR($C43="",$D43=""),"",IF(AND(DATE($B$1,1,1)+(28-1)*7&lt;=$D43,DATE($B$1,1,1)+28*7-1&gt;=$C43),1,""))</f>
        <v/>
      </c>
      <c r="AG43" s="10">
        <f>IF(OR($C43="",$D43=""),"",IF(AND(DATE($B$1,1,1)+(29-1)*7&lt;=$D43,DATE($B$1,1,1)+29*7-1&gt;=$C43),1,""))</f>
        <v/>
      </c>
      <c r="AH43" s="10">
        <f>IF(OR($C43="",$D43=""),"",IF(AND(DATE($B$1,1,1)+(30-1)*7&lt;=$D43,DATE($B$1,1,1)+30*7-1&gt;=$C43),1,""))</f>
        <v/>
      </c>
      <c r="AI43" s="10">
        <f>IF(OR($C43="",$D43=""),"",IF(AND(DATE($B$1,1,1)+(31-1)*7&lt;=$D43,DATE($B$1,1,1)+31*7-1&gt;=$C43),1,""))</f>
        <v/>
      </c>
      <c r="AJ43" s="10">
        <f>IF(OR($C43="",$D43=""),"",IF(AND(DATE($B$1,1,1)+(32-1)*7&lt;=$D43,DATE($B$1,1,1)+32*7-1&gt;=$C43),1,""))</f>
        <v/>
      </c>
      <c r="AK43" s="10">
        <f>IF(OR($C43="",$D43=""),"",IF(AND(DATE($B$1,1,1)+(33-1)*7&lt;=$D43,DATE($B$1,1,1)+33*7-1&gt;=$C43),1,""))</f>
        <v/>
      </c>
      <c r="AL43" s="10">
        <f>IF(OR($C43="",$D43=""),"",IF(AND(DATE($B$1,1,1)+(34-1)*7&lt;=$D43,DATE($B$1,1,1)+34*7-1&gt;=$C43),1,""))</f>
        <v/>
      </c>
      <c r="AM43" s="10">
        <f>IF(OR($C43="",$D43=""),"",IF(AND(DATE($B$1,1,1)+(35-1)*7&lt;=$D43,DATE($B$1,1,1)+35*7-1&gt;=$C43),1,""))</f>
        <v/>
      </c>
      <c r="AN43" s="10">
        <f>IF(OR($C43="",$D43=""),"",IF(AND(DATE($B$1,1,1)+(36-1)*7&lt;=$D43,DATE($B$1,1,1)+36*7-1&gt;=$C43),1,""))</f>
        <v/>
      </c>
      <c r="AO43" s="10">
        <f>IF(OR($C43="",$D43=""),"",IF(AND(DATE($B$1,1,1)+(37-1)*7&lt;=$D43,DATE($B$1,1,1)+37*7-1&gt;=$C43),1,""))</f>
        <v/>
      </c>
      <c r="AP43" s="10">
        <f>IF(OR($C43="",$D43=""),"",IF(AND(DATE($B$1,1,1)+(38-1)*7&lt;=$D43,DATE($B$1,1,1)+38*7-1&gt;=$C43),1,""))</f>
        <v/>
      </c>
      <c r="AQ43" s="10">
        <f>IF(OR($C43="",$D43=""),"",IF(AND(DATE($B$1,1,1)+(39-1)*7&lt;=$D43,DATE($B$1,1,1)+39*7-1&gt;=$C43),1,""))</f>
        <v/>
      </c>
      <c r="AR43" s="10">
        <f>IF(OR($C43="",$D43=""),"",IF(AND(DATE($B$1,1,1)+(40-1)*7&lt;=$D43,DATE($B$1,1,1)+40*7-1&gt;=$C43),1,""))</f>
        <v/>
      </c>
      <c r="AS43" s="10">
        <f>IF(OR($C43="",$D43=""),"",IF(AND(DATE($B$1,1,1)+(41-1)*7&lt;=$D43,DATE($B$1,1,1)+41*7-1&gt;=$C43),1,""))</f>
        <v/>
      </c>
      <c r="AT43" s="10">
        <f>IF(OR($C43="",$D43=""),"",IF(AND(DATE($B$1,1,1)+(42-1)*7&lt;=$D43,DATE($B$1,1,1)+42*7-1&gt;=$C43),1,""))</f>
        <v/>
      </c>
      <c r="AU43" s="10">
        <f>IF(OR($C43="",$D43=""),"",IF(AND(DATE($B$1,1,1)+(43-1)*7&lt;=$D43,DATE($B$1,1,1)+43*7-1&gt;=$C43),1,""))</f>
        <v/>
      </c>
      <c r="AV43" s="10">
        <f>IF(OR($C43="",$D43=""),"",IF(AND(DATE($B$1,1,1)+(44-1)*7&lt;=$D43,DATE($B$1,1,1)+44*7-1&gt;=$C43),1,""))</f>
        <v/>
      </c>
      <c r="AW43" s="10">
        <f>IF(OR($C43="",$D43=""),"",IF(AND(DATE($B$1,1,1)+(45-1)*7&lt;=$D43,DATE($B$1,1,1)+45*7-1&gt;=$C43),1,""))</f>
        <v/>
      </c>
      <c r="AX43" s="10">
        <f>IF(OR($C43="",$D43=""),"",IF(AND(DATE($B$1,1,1)+(46-1)*7&lt;=$D43,DATE($B$1,1,1)+46*7-1&gt;=$C43),1,""))</f>
        <v/>
      </c>
      <c r="AY43" s="10">
        <f>IF(OR($C43="",$D43=""),"",IF(AND(DATE($B$1,1,1)+(47-1)*7&lt;=$D43,DATE($B$1,1,1)+47*7-1&gt;=$C43),1,""))</f>
        <v/>
      </c>
      <c r="AZ43" s="10">
        <f>IF(OR($C43="",$D43=""),"",IF(AND(DATE($B$1,1,1)+(48-1)*7&lt;=$D43,DATE($B$1,1,1)+48*7-1&gt;=$C43),1,""))</f>
        <v/>
      </c>
      <c r="BA43" s="10">
        <f>IF(OR($C43="",$D43=""),"",IF(AND(DATE($B$1,1,1)+(49-1)*7&lt;=$D43,DATE($B$1,1,1)+49*7-1&gt;=$C43),1,""))</f>
        <v/>
      </c>
      <c r="BB43" s="10">
        <f>IF(OR($C43="",$D43=""),"",IF(AND(DATE($B$1,1,1)+(50-1)*7&lt;=$D43,DATE($B$1,1,1)+50*7-1&gt;=$C43),1,""))</f>
        <v/>
      </c>
      <c r="BC43" s="10">
        <f>IF(OR($C43="",$D43=""),"",IF(AND(DATE($B$1,1,1)+(51-1)*7&lt;=$D43,DATE($B$1,1,1)+51*7-1&gt;=$C43),1,""))</f>
        <v/>
      </c>
      <c r="BD43" s="10">
        <f>IF(OR($C43="",$D43=""),"",IF(AND(DATE($B$1,1,1)+(52-1)*7&lt;=$D43,DATE($B$1,1,1)+52*7-1&gt;=$C43),1,""))</f>
        <v/>
      </c>
      <c r="BE43" s="10">
        <f>IF(OR($C43="",$D43=""),"",IF(AND(DATE($B$1,1,1)+(53-1)*7&lt;=$D43,DATE($B$1,1,1)+53*7-1&gt;=$C43),1,""))</f>
        <v/>
      </c>
      <c r="BF43" s="10">
        <f>IF(OR($C43="",$D43=""),"",IF(AND(DATE($B$1,1,1)+(54-1)*7&lt;=$D43,DATE($B$1,1,1)+54*7-1&gt;=$C43),1,""))</f>
        <v/>
      </c>
    </row>
    <row r="44">
      <c r="A44" s="6" t="n"/>
      <c r="B44" s="6" t="n"/>
      <c r="C44" s="11" t="n"/>
      <c r="D44" s="11" t="n"/>
      <c r="E44" s="10">
        <f>IF(OR($C44="",$D44=""),"",IF(AND(DATE($B$1,1,1)+(1-1)*7&lt;=$D44,DATE($B$1,1,1)+1*7-1&gt;=$C44),1,""))</f>
        <v/>
      </c>
      <c r="F44" s="10">
        <f>IF(OR($C44="",$D44=""),"",IF(AND(DATE($B$1,1,1)+(2-1)*7&lt;=$D44,DATE($B$1,1,1)+2*7-1&gt;=$C44),1,""))</f>
        <v/>
      </c>
      <c r="G44" s="10">
        <f>IF(OR($C44="",$D44=""),"",IF(AND(DATE($B$1,1,1)+(3-1)*7&lt;=$D44,DATE($B$1,1,1)+3*7-1&gt;=$C44),1,""))</f>
        <v/>
      </c>
      <c r="H44" s="10">
        <f>IF(OR($C44="",$D44=""),"",IF(AND(DATE($B$1,1,1)+(4-1)*7&lt;=$D44,DATE($B$1,1,1)+4*7-1&gt;=$C44),1,""))</f>
        <v/>
      </c>
      <c r="I44" s="10">
        <f>IF(OR($C44="",$D44=""),"",IF(AND(DATE($B$1,1,1)+(5-1)*7&lt;=$D44,DATE($B$1,1,1)+5*7-1&gt;=$C44),1,""))</f>
        <v/>
      </c>
      <c r="J44" s="10">
        <f>IF(OR($C44="",$D44=""),"",IF(AND(DATE($B$1,1,1)+(6-1)*7&lt;=$D44,DATE($B$1,1,1)+6*7-1&gt;=$C44),1,""))</f>
        <v/>
      </c>
      <c r="K44" s="10">
        <f>IF(OR($C44="",$D44=""),"",IF(AND(DATE($B$1,1,1)+(7-1)*7&lt;=$D44,DATE($B$1,1,1)+7*7-1&gt;=$C44),1,""))</f>
        <v/>
      </c>
      <c r="L44" s="10">
        <f>IF(OR($C44="",$D44=""),"",IF(AND(DATE($B$1,1,1)+(8-1)*7&lt;=$D44,DATE($B$1,1,1)+8*7-1&gt;=$C44),1,""))</f>
        <v/>
      </c>
      <c r="M44" s="10">
        <f>IF(OR($C44="",$D44=""),"",IF(AND(DATE($B$1,1,1)+(9-1)*7&lt;=$D44,DATE($B$1,1,1)+9*7-1&gt;=$C44),1,""))</f>
        <v/>
      </c>
      <c r="N44" s="10">
        <f>IF(OR($C44="",$D44=""),"",IF(AND(DATE($B$1,1,1)+(10-1)*7&lt;=$D44,DATE($B$1,1,1)+10*7-1&gt;=$C44),1,""))</f>
        <v/>
      </c>
      <c r="O44" s="10">
        <f>IF(OR($C44="",$D44=""),"",IF(AND(DATE($B$1,1,1)+(11-1)*7&lt;=$D44,DATE($B$1,1,1)+11*7-1&gt;=$C44),1,""))</f>
        <v/>
      </c>
      <c r="P44" s="10">
        <f>IF(OR($C44="",$D44=""),"",IF(AND(DATE($B$1,1,1)+(12-1)*7&lt;=$D44,DATE($B$1,1,1)+12*7-1&gt;=$C44),1,""))</f>
        <v/>
      </c>
      <c r="Q44" s="10">
        <f>IF(OR($C44="",$D44=""),"",IF(AND(DATE($B$1,1,1)+(13-1)*7&lt;=$D44,DATE($B$1,1,1)+13*7-1&gt;=$C44),1,""))</f>
        <v/>
      </c>
      <c r="R44" s="10">
        <f>IF(OR($C44="",$D44=""),"",IF(AND(DATE($B$1,1,1)+(14-1)*7&lt;=$D44,DATE($B$1,1,1)+14*7-1&gt;=$C44),1,""))</f>
        <v/>
      </c>
      <c r="S44" s="10">
        <f>IF(OR($C44="",$D44=""),"",IF(AND(DATE($B$1,1,1)+(15-1)*7&lt;=$D44,DATE($B$1,1,1)+15*7-1&gt;=$C44),1,""))</f>
        <v/>
      </c>
      <c r="T44" s="10">
        <f>IF(OR($C44="",$D44=""),"",IF(AND(DATE($B$1,1,1)+(16-1)*7&lt;=$D44,DATE($B$1,1,1)+16*7-1&gt;=$C44),1,""))</f>
        <v/>
      </c>
      <c r="U44" s="10">
        <f>IF(OR($C44="",$D44=""),"",IF(AND(DATE($B$1,1,1)+(17-1)*7&lt;=$D44,DATE($B$1,1,1)+17*7-1&gt;=$C44),1,""))</f>
        <v/>
      </c>
      <c r="V44" s="10">
        <f>IF(OR($C44="",$D44=""),"",IF(AND(DATE($B$1,1,1)+(18-1)*7&lt;=$D44,DATE($B$1,1,1)+18*7-1&gt;=$C44),1,""))</f>
        <v/>
      </c>
      <c r="W44" s="10">
        <f>IF(OR($C44="",$D44=""),"",IF(AND(DATE($B$1,1,1)+(19-1)*7&lt;=$D44,DATE($B$1,1,1)+19*7-1&gt;=$C44),1,""))</f>
        <v/>
      </c>
      <c r="X44" s="10">
        <f>IF(OR($C44="",$D44=""),"",IF(AND(DATE($B$1,1,1)+(20-1)*7&lt;=$D44,DATE($B$1,1,1)+20*7-1&gt;=$C44),1,""))</f>
        <v/>
      </c>
      <c r="Y44" s="10">
        <f>IF(OR($C44="",$D44=""),"",IF(AND(DATE($B$1,1,1)+(21-1)*7&lt;=$D44,DATE($B$1,1,1)+21*7-1&gt;=$C44),1,""))</f>
        <v/>
      </c>
      <c r="Z44" s="10">
        <f>IF(OR($C44="",$D44=""),"",IF(AND(DATE($B$1,1,1)+(22-1)*7&lt;=$D44,DATE($B$1,1,1)+22*7-1&gt;=$C44),1,""))</f>
        <v/>
      </c>
      <c r="AA44" s="10">
        <f>IF(OR($C44="",$D44=""),"",IF(AND(DATE($B$1,1,1)+(23-1)*7&lt;=$D44,DATE($B$1,1,1)+23*7-1&gt;=$C44),1,""))</f>
        <v/>
      </c>
      <c r="AB44" s="10">
        <f>IF(OR($C44="",$D44=""),"",IF(AND(DATE($B$1,1,1)+(24-1)*7&lt;=$D44,DATE($B$1,1,1)+24*7-1&gt;=$C44),1,""))</f>
        <v/>
      </c>
      <c r="AC44" s="10">
        <f>IF(OR($C44="",$D44=""),"",IF(AND(DATE($B$1,1,1)+(25-1)*7&lt;=$D44,DATE($B$1,1,1)+25*7-1&gt;=$C44),1,""))</f>
        <v/>
      </c>
      <c r="AD44" s="10">
        <f>IF(OR($C44="",$D44=""),"",IF(AND(DATE($B$1,1,1)+(26-1)*7&lt;=$D44,DATE($B$1,1,1)+26*7-1&gt;=$C44),1,""))</f>
        <v/>
      </c>
      <c r="AE44" s="10">
        <f>IF(OR($C44="",$D44=""),"",IF(AND(DATE($B$1,1,1)+(27-1)*7&lt;=$D44,DATE($B$1,1,1)+27*7-1&gt;=$C44),1,""))</f>
        <v/>
      </c>
      <c r="AF44" s="10">
        <f>IF(OR($C44="",$D44=""),"",IF(AND(DATE($B$1,1,1)+(28-1)*7&lt;=$D44,DATE($B$1,1,1)+28*7-1&gt;=$C44),1,""))</f>
        <v/>
      </c>
      <c r="AG44" s="10">
        <f>IF(OR($C44="",$D44=""),"",IF(AND(DATE($B$1,1,1)+(29-1)*7&lt;=$D44,DATE($B$1,1,1)+29*7-1&gt;=$C44),1,""))</f>
        <v/>
      </c>
      <c r="AH44" s="10">
        <f>IF(OR($C44="",$D44=""),"",IF(AND(DATE($B$1,1,1)+(30-1)*7&lt;=$D44,DATE($B$1,1,1)+30*7-1&gt;=$C44),1,""))</f>
        <v/>
      </c>
      <c r="AI44" s="10">
        <f>IF(OR($C44="",$D44=""),"",IF(AND(DATE($B$1,1,1)+(31-1)*7&lt;=$D44,DATE($B$1,1,1)+31*7-1&gt;=$C44),1,""))</f>
        <v/>
      </c>
      <c r="AJ44" s="10">
        <f>IF(OR($C44="",$D44=""),"",IF(AND(DATE($B$1,1,1)+(32-1)*7&lt;=$D44,DATE($B$1,1,1)+32*7-1&gt;=$C44),1,""))</f>
        <v/>
      </c>
      <c r="AK44" s="10">
        <f>IF(OR($C44="",$D44=""),"",IF(AND(DATE($B$1,1,1)+(33-1)*7&lt;=$D44,DATE($B$1,1,1)+33*7-1&gt;=$C44),1,""))</f>
        <v/>
      </c>
      <c r="AL44" s="10">
        <f>IF(OR($C44="",$D44=""),"",IF(AND(DATE($B$1,1,1)+(34-1)*7&lt;=$D44,DATE($B$1,1,1)+34*7-1&gt;=$C44),1,""))</f>
        <v/>
      </c>
      <c r="AM44" s="10">
        <f>IF(OR($C44="",$D44=""),"",IF(AND(DATE($B$1,1,1)+(35-1)*7&lt;=$D44,DATE($B$1,1,1)+35*7-1&gt;=$C44),1,""))</f>
        <v/>
      </c>
      <c r="AN44" s="10">
        <f>IF(OR($C44="",$D44=""),"",IF(AND(DATE($B$1,1,1)+(36-1)*7&lt;=$D44,DATE($B$1,1,1)+36*7-1&gt;=$C44),1,""))</f>
        <v/>
      </c>
      <c r="AO44" s="10">
        <f>IF(OR($C44="",$D44=""),"",IF(AND(DATE($B$1,1,1)+(37-1)*7&lt;=$D44,DATE($B$1,1,1)+37*7-1&gt;=$C44),1,""))</f>
        <v/>
      </c>
      <c r="AP44" s="10">
        <f>IF(OR($C44="",$D44=""),"",IF(AND(DATE($B$1,1,1)+(38-1)*7&lt;=$D44,DATE($B$1,1,1)+38*7-1&gt;=$C44),1,""))</f>
        <v/>
      </c>
      <c r="AQ44" s="10">
        <f>IF(OR($C44="",$D44=""),"",IF(AND(DATE($B$1,1,1)+(39-1)*7&lt;=$D44,DATE($B$1,1,1)+39*7-1&gt;=$C44),1,""))</f>
        <v/>
      </c>
      <c r="AR44" s="10">
        <f>IF(OR($C44="",$D44=""),"",IF(AND(DATE($B$1,1,1)+(40-1)*7&lt;=$D44,DATE($B$1,1,1)+40*7-1&gt;=$C44),1,""))</f>
        <v/>
      </c>
      <c r="AS44" s="10">
        <f>IF(OR($C44="",$D44=""),"",IF(AND(DATE($B$1,1,1)+(41-1)*7&lt;=$D44,DATE($B$1,1,1)+41*7-1&gt;=$C44),1,""))</f>
        <v/>
      </c>
      <c r="AT44" s="10">
        <f>IF(OR($C44="",$D44=""),"",IF(AND(DATE($B$1,1,1)+(42-1)*7&lt;=$D44,DATE($B$1,1,1)+42*7-1&gt;=$C44),1,""))</f>
        <v/>
      </c>
      <c r="AU44" s="10">
        <f>IF(OR($C44="",$D44=""),"",IF(AND(DATE($B$1,1,1)+(43-1)*7&lt;=$D44,DATE($B$1,1,1)+43*7-1&gt;=$C44),1,""))</f>
        <v/>
      </c>
      <c r="AV44" s="10">
        <f>IF(OR($C44="",$D44=""),"",IF(AND(DATE($B$1,1,1)+(44-1)*7&lt;=$D44,DATE($B$1,1,1)+44*7-1&gt;=$C44),1,""))</f>
        <v/>
      </c>
      <c r="AW44" s="10">
        <f>IF(OR($C44="",$D44=""),"",IF(AND(DATE($B$1,1,1)+(45-1)*7&lt;=$D44,DATE($B$1,1,1)+45*7-1&gt;=$C44),1,""))</f>
        <v/>
      </c>
      <c r="AX44" s="10">
        <f>IF(OR($C44="",$D44=""),"",IF(AND(DATE($B$1,1,1)+(46-1)*7&lt;=$D44,DATE($B$1,1,1)+46*7-1&gt;=$C44),1,""))</f>
        <v/>
      </c>
      <c r="AY44" s="10">
        <f>IF(OR($C44="",$D44=""),"",IF(AND(DATE($B$1,1,1)+(47-1)*7&lt;=$D44,DATE($B$1,1,1)+47*7-1&gt;=$C44),1,""))</f>
        <v/>
      </c>
      <c r="AZ44" s="10">
        <f>IF(OR($C44="",$D44=""),"",IF(AND(DATE($B$1,1,1)+(48-1)*7&lt;=$D44,DATE($B$1,1,1)+48*7-1&gt;=$C44),1,""))</f>
        <v/>
      </c>
      <c r="BA44" s="10">
        <f>IF(OR($C44="",$D44=""),"",IF(AND(DATE($B$1,1,1)+(49-1)*7&lt;=$D44,DATE($B$1,1,1)+49*7-1&gt;=$C44),1,""))</f>
        <v/>
      </c>
      <c r="BB44" s="10">
        <f>IF(OR($C44="",$D44=""),"",IF(AND(DATE($B$1,1,1)+(50-1)*7&lt;=$D44,DATE($B$1,1,1)+50*7-1&gt;=$C44),1,""))</f>
        <v/>
      </c>
      <c r="BC44" s="10">
        <f>IF(OR($C44="",$D44=""),"",IF(AND(DATE($B$1,1,1)+(51-1)*7&lt;=$D44,DATE($B$1,1,1)+51*7-1&gt;=$C44),1,""))</f>
        <v/>
      </c>
      <c r="BD44" s="10">
        <f>IF(OR($C44="",$D44=""),"",IF(AND(DATE($B$1,1,1)+(52-1)*7&lt;=$D44,DATE($B$1,1,1)+52*7-1&gt;=$C44),1,""))</f>
        <v/>
      </c>
      <c r="BE44" s="10">
        <f>IF(OR($C44="",$D44=""),"",IF(AND(DATE($B$1,1,1)+(53-1)*7&lt;=$D44,DATE($B$1,1,1)+53*7-1&gt;=$C44),1,""))</f>
        <v/>
      </c>
      <c r="BF44" s="10">
        <f>IF(OR($C44="",$D44=""),"",IF(AND(DATE($B$1,1,1)+(54-1)*7&lt;=$D44,DATE($B$1,1,1)+54*7-1&gt;=$C44),1,""))</f>
        <v/>
      </c>
    </row>
    <row r="45">
      <c r="A45" s="6" t="n"/>
      <c r="B45" s="6" t="n"/>
      <c r="C45" s="11" t="n"/>
      <c r="D45" s="11" t="n"/>
      <c r="E45" s="10">
        <f>IF(OR($C45="",$D45=""),"",IF(AND(DATE($B$1,1,1)+(1-1)*7&lt;=$D45,DATE($B$1,1,1)+1*7-1&gt;=$C45),1,""))</f>
        <v/>
      </c>
      <c r="F45" s="10">
        <f>IF(OR($C45="",$D45=""),"",IF(AND(DATE($B$1,1,1)+(2-1)*7&lt;=$D45,DATE($B$1,1,1)+2*7-1&gt;=$C45),1,""))</f>
        <v/>
      </c>
      <c r="G45" s="10">
        <f>IF(OR($C45="",$D45=""),"",IF(AND(DATE($B$1,1,1)+(3-1)*7&lt;=$D45,DATE($B$1,1,1)+3*7-1&gt;=$C45),1,""))</f>
        <v/>
      </c>
      <c r="H45" s="10">
        <f>IF(OR($C45="",$D45=""),"",IF(AND(DATE($B$1,1,1)+(4-1)*7&lt;=$D45,DATE($B$1,1,1)+4*7-1&gt;=$C45),1,""))</f>
        <v/>
      </c>
      <c r="I45" s="10">
        <f>IF(OR($C45="",$D45=""),"",IF(AND(DATE($B$1,1,1)+(5-1)*7&lt;=$D45,DATE($B$1,1,1)+5*7-1&gt;=$C45),1,""))</f>
        <v/>
      </c>
      <c r="J45" s="10">
        <f>IF(OR($C45="",$D45=""),"",IF(AND(DATE($B$1,1,1)+(6-1)*7&lt;=$D45,DATE($B$1,1,1)+6*7-1&gt;=$C45),1,""))</f>
        <v/>
      </c>
      <c r="K45" s="10">
        <f>IF(OR($C45="",$D45=""),"",IF(AND(DATE($B$1,1,1)+(7-1)*7&lt;=$D45,DATE($B$1,1,1)+7*7-1&gt;=$C45),1,""))</f>
        <v/>
      </c>
      <c r="L45" s="10">
        <f>IF(OR($C45="",$D45=""),"",IF(AND(DATE($B$1,1,1)+(8-1)*7&lt;=$D45,DATE($B$1,1,1)+8*7-1&gt;=$C45),1,""))</f>
        <v/>
      </c>
      <c r="M45" s="10">
        <f>IF(OR($C45="",$D45=""),"",IF(AND(DATE($B$1,1,1)+(9-1)*7&lt;=$D45,DATE($B$1,1,1)+9*7-1&gt;=$C45),1,""))</f>
        <v/>
      </c>
      <c r="N45" s="10">
        <f>IF(OR($C45="",$D45=""),"",IF(AND(DATE($B$1,1,1)+(10-1)*7&lt;=$D45,DATE($B$1,1,1)+10*7-1&gt;=$C45),1,""))</f>
        <v/>
      </c>
      <c r="O45" s="10">
        <f>IF(OR($C45="",$D45=""),"",IF(AND(DATE($B$1,1,1)+(11-1)*7&lt;=$D45,DATE($B$1,1,1)+11*7-1&gt;=$C45),1,""))</f>
        <v/>
      </c>
      <c r="P45" s="10">
        <f>IF(OR($C45="",$D45=""),"",IF(AND(DATE($B$1,1,1)+(12-1)*7&lt;=$D45,DATE($B$1,1,1)+12*7-1&gt;=$C45),1,""))</f>
        <v/>
      </c>
      <c r="Q45" s="10">
        <f>IF(OR($C45="",$D45=""),"",IF(AND(DATE($B$1,1,1)+(13-1)*7&lt;=$D45,DATE($B$1,1,1)+13*7-1&gt;=$C45),1,""))</f>
        <v/>
      </c>
      <c r="R45" s="10">
        <f>IF(OR($C45="",$D45=""),"",IF(AND(DATE($B$1,1,1)+(14-1)*7&lt;=$D45,DATE($B$1,1,1)+14*7-1&gt;=$C45),1,""))</f>
        <v/>
      </c>
      <c r="S45" s="10">
        <f>IF(OR($C45="",$D45=""),"",IF(AND(DATE($B$1,1,1)+(15-1)*7&lt;=$D45,DATE($B$1,1,1)+15*7-1&gt;=$C45),1,""))</f>
        <v/>
      </c>
      <c r="T45" s="10">
        <f>IF(OR($C45="",$D45=""),"",IF(AND(DATE($B$1,1,1)+(16-1)*7&lt;=$D45,DATE($B$1,1,1)+16*7-1&gt;=$C45),1,""))</f>
        <v/>
      </c>
      <c r="U45" s="10">
        <f>IF(OR($C45="",$D45=""),"",IF(AND(DATE($B$1,1,1)+(17-1)*7&lt;=$D45,DATE($B$1,1,1)+17*7-1&gt;=$C45),1,""))</f>
        <v/>
      </c>
      <c r="V45" s="10">
        <f>IF(OR($C45="",$D45=""),"",IF(AND(DATE($B$1,1,1)+(18-1)*7&lt;=$D45,DATE($B$1,1,1)+18*7-1&gt;=$C45),1,""))</f>
        <v/>
      </c>
      <c r="W45" s="10">
        <f>IF(OR($C45="",$D45=""),"",IF(AND(DATE($B$1,1,1)+(19-1)*7&lt;=$D45,DATE($B$1,1,1)+19*7-1&gt;=$C45),1,""))</f>
        <v/>
      </c>
      <c r="X45" s="10">
        <f>IF(OR($C45="",$D45=""),"",IF(AND(DATE($B$1,1,1)+(20-1)*7&lt;=$D45,DATE($B$1,1,1)+20*7-1&gt;=$C45),1,""))</f>
        <v/>
      </c>
      <c r="Y45" s="10">
        <f>IF(OR($C45="",$D45=""),"",IF(AND(DATE($B$1,1,1)+(21-1)*7&lt;=$D45,DATE($B$1,1,1)+21*7-1&gt;=$C45),1,""))</f>
        <v/>
      </c>
      <c r="Z45" s="10">
        <f>IF(OR($C45="",$D45=""),"",IF(AND(DATE($B$1,1,1)+(22-1)*7&lt;=$D45,DATE($B$1,1,1)+22*7-1&gt;=$C45),1,""))</f>
        <v/>
      </c>
      <c r="AA45" s="10">
        <f>IF(OR($C45="",$D45=""),"",IF(AND(DATE($B$1,1,1)+(23-1)*7&lt;=$D45,DATE($B$1,1,1)+23*7-1&gt;=$C45),1,""))</f>
        <v/>
      </c>
      <c r="AB45" s="10">
        <f>IF(OR($C45="",$D45=""),"",IF(AND(DATE($B$1,1,1)+(24-1)*7&lt;=$D45,DATE($B$1,1,1)+24*7-1&gt;=$C45),1,""))</f>
        <v/>
      </c>
      <c r="AC45" s="10">
        <f>IF(OR($C45="",$D45=""),"",IF(AND(DATE($B$1,1,1)+(25-1)*7&lt;=$D45,DATE($B$1,1,1)+25*7-1&gt;=$C45),1,""))</f>
        <v/>
      </c>
      <c r="AD45" s="10">
        <f>IF(OR($C45="",$D45=""),"",IF(AND(DATE($B$1,1,1)+(26-1)*7&lt;=$D45,DATE($B$1,1,1)+26*7-1&gt;=$C45),1,""))</f>
        <v/>
      </c>
      <c r="AE45" s="10">
        <f>IF(OR($C45="",$D45=""),"",IF(AND(DATE($B$1,1,1)+(27-1)*7&lt;=$D45,DATE($B$1,1,1)+27*7-1&gt;=$C45),1,""))</f>
        <v/>
      </c>
      <c r="AF45" s="10">
        <f>IF(OR($C45="",$D45=""),"",IF(AND(DATE($B$1,1,1)+(28-1)*7&lt;=$D45,DATE($B$1,1,1)+28*7-1&gt;=$C45),1,""))</f>
        <v/>
      </c>
      <c r="AG45" s="10">
        <f>IF(OR($C45="",$D45=""),"",IF(AND(DATE($B$1,1,1)+(29-1)*7&lt;=$D45,DATE($B$1,1,1)+29*7-1&gt;=$C45),1,""))</f>
        <v/>
      </c>
      <c r="AH45" s="10">
        <f>IF(OR($C45="",$D45=""),"",IF(AND(DATE($B$1,1,1)+(30-1)*7&lt;=$D45,DATE($B$1,1,1)+30*7-1&gt;=$C45),1,""))</f>
        <v/>
      </c>
      <c r="AI45" s="10">
        <f>IF(OR($C45="",$D45=""),"",IF(AND(DATE($B$1,1,1)+(31-1)*7&lt;=$D45,DATE($B$1,1,1)+31*7-1&gt;=$C45),1,""))</f>
        <v/>
      </c>
      <c r="AJ45" s="10">
        <f>IF(OR($C45="",$D45=""),"",IF(AND(DATE($B$1,1,1)+(32-1)*7&lt;=$D45,DATE($B$1,1,1)+32*7-1&gt;=$C45),1,""))</f>
        <v/>
      </c>
      <c r="AK45" s="10">
        <f>IF(OR($C45="",$D45=""),"",IF(AND(DATE($B$1,1,1)+(33-1)*7&lt;=$D45,DATE($B$1,1,1)+33*7-1&gt;=$C45),1,""))</f>
        <v/>
      </c>
      <c r="AL45" s="10">
        <f>IF(OR($C45="",$D45=""),"",IF(AND(DATE($B$1,1,1)+(34-1)*7&lt;=$D45,DATE($B$1,1,1)+34*7-1&gt;=$C45),1,""))</f>
        <v/>
      </c>
      <c r="AM45" s="10">
        <f>IF(OR($C45="",$D45=""),"",IF(AND(DATE($B$1,1,1)+(35-1)*7&lt;=$D45,DATE($B$1,1,1)+35*7-1&gt;=$C45),1,""))</f>
        <v/>
      </c>
      <c r="AN45" s="10">
        <f>IF(OR($C45="",$D45=""),"",IF(AND(DATE($B$1,1,1)+(36-1)*7&lt;=$D45,DATE($B$1,1,1)+36*7-1&gt;=$C45),1,""))</f>
        <v/>
      </c>
      <c r="AO45" s="10">
        <f>IF(OR($C45="",$D45=""),"",IF(AND(DATE($B$1,1,1)+(37-1)*7&lt;=$D45,DATE($B$1,1,1)+37*7-1&gt;=$C45),1,""))</f>
        <v/>
      </c>
      <c r="AP45" s="10">
        <f>IF(OR($C45="",$D45=""),"",IF(AND(DATE($B$1,1,1)+(38-1)*7&lt;=$D45,DATE($B$1,1,1)+38*7-1&gt;=$C45),1,""))</f>
        <v/>
      </c>
      <c r="AQ45" s="10">
        <f>IF(OR($C45="",$D45=""),"",IF(AND(DATE($B$1,1,1)+(39-1)*7&lt;=$D45,DATE($B$1,1,1)+39*7-1&gt;=$C45),1,""))</f>
        <v/>
      </c>
      <c r="AR45" s="10">
        <f>IF(OR($C45="",$D45=""),"",IF(AND(DATE($B$1,1,1)+(40-1)*7&lt;=$D45,DATE($B$1,1,1)+40*7-1&gt;=$C45),1,""))</f>
        <v/>
      </c>
      <c r="AS45" s="10">
        <f>IF(OR($C45="",$D45=""),"",IF(AND(DATE($B$1,1,1)+(41-1)*7&lt;=$D45,DATE($B$1,1,1)+41*7-1&gt;=$C45),1,""))</f>
        <v/>
      </c>
      <c r="AT45" s="10">
        <f>IF(OR($C45="",$D45=""),"",IF(AND(DATE($B$1,1,1)+(42-1)*7&lt;=$D45,DATE($B$1,1,1)+42*7-1&gt;=$C45),1,""))</f>
        <v/>
      </c>
      <c r="AU45" s="10">
        <f>IF(OR($C45="",$D45=""),"",IF(AND(DATE($B$1,1,1)+(43-1)*7&lt;=$D45,DATE($B$1,1,1)+43*7-1&gt;=$C45),1,""))</f>
        <v/>
      </c>
      <c r="AV45" s="10">
        <f>IF(OR($C45="",$D45=""),"",IF(AND(DATE($B$1,1,1)+(44-1)*7&lt;=$D45,DATE($B$1,1,1)+44*7-1&gt;=$C45),1,""))</f>
        <v/>
      </c>
      <c r="AW45" s="10">
        <f>IF(OR($C45="",$D45=""),"",IF(AND(DATE($B$1,1,1)+(45-1)*7&lt;=$D45,DATE($B$1,1,1)+45*7-1&gt;=$C45),1,""))</f>
        <v/>
      </c>
      <c r="AX45" s="10">
        <f>IF(OR($C45="",$D45=""),"",IF(AND(DATE($B$1,1,1)+(46-1)*7&lt;=$D45,DATE($B$1,1,1)+46*7-1&gt;=$C45),1,""))</f>
        <v/>
      </c>
      <c r="AY45" s="10">
        <f>IF(OR($C45="",$D45=""),"",IF(AND(DATE($B$1,1,1)+(47-1)*7&lt;=$D45,DATE($B$1,1,1)+47*7-1&gt;=$C45),1,""))</f>
        <v/>
      </c>
      <c r="AZ45" s="10">
        <f>IF(OR($C45="",$D45=""),"",IF(AND(DATE($B$1,1,1)+(48-1)*7&lt;=$D45,DATE($B$1,1,1)+48*7-1&gt;=$C45),1,""))</f>
        <v/>
      </c>
      <c r="BA45" s="10">
        <f>IF(OR($C45="",$D45=""),"",IF(AND(DATE($B$1,1,1)+(49-1)*7&lt;=$D45,DATE($B$1,1,1)+49*7-1&gt;=$C45),1,""))</f>
        <v/>
      </c>
      <c r="BB45" s="10">
        <f>IF(OR($C45="",$D45=""),"",IF(AND(DATE($B$1,1,1)+(50-1)*7&lt;=$D45,DATE($B$1,1,1)+50*7-1&gt;=$C45),1,""))</f>
        <v/>
      </c>
      <c r="BC45" s="10">
        <f>IF(OR($C45="",$D45=""),"",IF(AND(DATE($B$1,1,1)+(51-1)*7&lt;=$D45,DATE($B$1,1,1)+51*7-1&gt;=$C45),1,""))</f>
        <v/>
      </c>
      <c r="BD45" s="10">
        <f>IF(OR($C45="",$D45=""),"",IF(AND(DATE($B$1,1,1)+(52-1)*7&lt;=$D45,DATE($B$1,1,1)+52*7-1&gt;=$C45),1,""))</f>
        <v/>
      </c>
      <c r="BE45" s="10">
        <f>IF(OR($C45="",$D45=""),"",IF(AND(DATE($B$1,1,1)+(53-1)*7&lt;=$D45,DATE($B$1,1,1)+53*7-1&gt;=$C45),1,""))</f>
        <v/>
      </c>
      <c r="BF45" s="10">
        <f>IF(OR($C45="",$D45=""),"",IF(AND(DATE($B$1,1,1)+(54-1)*7&lt;=$D45,DATE($B$1,1,1)+54*7-1&gt;=$C45),1,""))</f>
        <v/>
      </c>
    </row>
    <row r="46">
      <c r="A46" s="6" t="n"/>
      <c r="B46" s="6" t="n"/>
      <c r="C46" s="11" t="n"/>
      <c r="D46" s="11" t="n"/>
      <c r="E46" s="10">
        <f>IF(OR($C46="",$D46=""),"",IF(AND(DATE($B$1,1,1)+(1-1)*7&lt;=$D46,DATE($B$1,1,1)+1*7-1&gt;=$C46),1,""))</f>
        <v/>
      </c>
      <c r="F46" s="10">
        <f>IF(OR($C46="",$D46=""),"",IF(AND(DATE($B$1,1,1)+(2-1)*7&lt;=$D46,DATE($B$1,1,1)+2*7-1&gt;=$C46),1,""))</f>
        <v/>
      </c>
      <c r="G46" s="10">
        <f>IF(OR($C46="",$D46=""),"",IF(AND(DATE($B$1,1,1)+(3-1)*7&lt;=$D46,DATE($B$1,1,1)+3*7-1&gt;=$C46),1,""))</f>
        <v/>
      </c>
      <c r="H46" s="10">
        <f>IF(OR($C46="",$D46=""),"",IF(AND(DATE($B$1,1,1)+(4-1)*7&lt;=$D46,DATE($B$1,1,1)+4*7-1&gt;=$C46),1,""))</f>
        <v/>
      </c>
      <c r="I46" s="10">
        <f>IF(OR($C46="",$D46=""),"",IF(AND(DATE($B$1,1,1)+(5-1)*7&lt;=$D46,DATE($B$1,1,1)+5*7-1&gt;=$C46),1,""))</f>
        <v/>
      </c>
      <c r="J46" s="10">
        <f>IF(OR($C46="",$D46=""),"",IF(AND(DATE($B$1,1,1)+(6-1)*7&lt;=$D46,DATE($B$1,1,1)+6*7-1&gt;=$C46),1,""))</f>
        <v/>
      </c>
      <c r="K46" s="10">
        <f>IF(OR($C46="",$D46=""),"",IF(AND(DATE($B$1,1,1)+(7-1)*7&lt;=$D46,DATE($B$1,1,1)+7*7-1&gt;=$C46),1,""))</f>
        <v/>
      </c>
      <c r="L46" s="10">
        <f>IF(OR($C46="",$D46=""),"",IF(AND(DATE($B$1,1,1)+(8-1)*7&lt;=$D46,DATE($B$1,1,1)+8*7-1&gt;=$C46),1,""))</f>
        <v/>
      </c>
      <c r="M46" s="10">
        <f>IF(OR($C46="",$D46=""),"",IF(AND(DATE($B$1,1,1)+(9-1)*7&lt;=$D46,DATE($B$1,1,1)+9*7-1&gt;=$C46),1,""))</f>
        <v/>
      </c>
      <c r="N46" s="10">
        <f>IF(OR($C46="",$D46=""),"",IF(AND(DATE($B$1,1,1)+(10-1)*7&lt;=$D46,DATE($B$1,1,1)+10*7-1&gt;=$C46),1,""))</f>
        <v/>
      </c>
      <c r="O46" s="10">
        <f>IF(OR($C46="",$D46=""),"",IF(AND(DATE($B$1,1,1)+(11-1)*7&lt;=$D46,DATE($B$1,1,1)+11*7-1&gt;=$C46),1,""))</f>
        <v/>
      </c>
      <c r="P46" s="10">
        <f>IF(OR($C46="",$D46=""),"",IF(AND(DATE($B$1,1,1)+(12-1)*7&lt;=$D46,DATE($B$1,1,1)+12*7-1&gt;=$C46),1,""))</f>
        <v/>
      </c>
      <c r="Q46" s="10">
        <f>IF(OR($C46="",$D46=""),"",IF(AND(DATE($B$1,1,1)+(13-1)*7&lt;=$D46,DATE($B$1,1,1)+13*7-1&gt;=$C46),1,""))</f>
        <v/>
      </c>
      <c r="R46" s="10">
        <f>IF(OR($C46="",$D46=""),"",IF(AND(DATE($B$1,1,1)+(14-1)*7&lt;=$D46,DATE($B$1,1,1)+14*7-1&gt;=$C46),1,""))</f>
        <v/>
      </c>
      <c r="S46" s="10">
        <f>IF(OR($C46="",$D46=""),"",IF(AND(DATE($B$1,1,1)+(15-1)*7&lt;=$D46,DATE($B$1,1,1)+15*7-1&gt;=$C46),1,""))</f>
        <v/>
      </c>
      <c r="T46" s="10">
        <f>IF(OR($C46="",$D46=""),"",IF(AND(DATE($B$1,1,1)+(16-1)*7&lt;=$D46,DATE($B$1,1,1)+16*7-1&gt;=$C46),1,""))</f>
        <v/>
      </c>
      <c r="U46" s="10">
        <f>IF(OR($C46="",$D46=""),"",IF(AND(DATE($B$1,1,1)+(17-1)*7&lt;=$D46,DATE($B$1,1,1)+17*7-1&gt;=$C46),1,""))</f>
        <v/>
      </c>
      <c r="V46" s="10">
        <f>IF(OR($C46="",$D46=""),"",IF(AND(DATE($B$1,1,1)+(18-1)*7&lt;=$D46,DATE($B$1,1,1)+18*7-1&gt;=$C46),1,""))</f>
        <v/>
      </c>
      <c r="W46" s="10">
        <f>IF(OR($C46="",$D46=""),"",IF(AND(DATE($B$1,1,1)+(19-1)*7&lt;=$D46,DATE($B$1,1,1)+19*7-1&gt;=$C46),1,""))</f>
        <v/>
      </c>
      <c r="X46" s="10">
        <f>IF(OR($C46="",$D46=""),"",IF(AND(DATE($B$1,1,1)+(20-1)*7&lt;=$D46,DATE($B$1,1,1)+20*7-1&gt;=$C46),1,""))</f>
        <v/>
      </c>
      <c r="Y46" s="10">
        <f>IF(OR($C46="",$D46=""),"",IF(AND(DATE($B$1,1,1)+(21-1)*7&lt;=$D46,DATE($B$1,1,1)+21*7-1&gt;=$C46),1,""))</f>
        <v/>
      </c>
      <c r="Z46" s="10">
        <f>IF(OR($C46="",$D46=""),"",IF(AND(DATE($B$1,1,1)+(22-1)*7&lt;=$D46,DATE($B$1,1,1)+22*7-1&gt;=$C46),1,""))</f>
        <v/>
      </c>
      <c r="AA46" s="10">
        <f>IF(OR($C46="",$D46=""),"",IF(AND(DATE($B$1,1,1)+(23-1)*7&lt;=$D46,DATE($B$1,1,1)+23*7-1&gt;=$C46),1,""))</f>
        <v/>
      </c>
      <c r="AB46" s="10">
        <f>IF(OR($C46="",$D46=""),"",IF(AND(DATE($B$1,1,1)+(24-1)*7&lt;=$D46,DATE($B$1,1,1)+24*7-1&gt;=$C46),1,""))</f>
        <v/>
      </c>
      <c r="AC46" s="10">
        <f>IF(OR($C46="",$D46=""),"",IF(AND(DATE($B$1,1,1)+(25-1)*7&lt;=$D46,DATE($B$1,1,1)+25*7-1&gt;=$C46),1,""))</f>
        <v/>
      </c>
      <c r="AD46" s="10">
        <f>IF(OR($C46="",$D46=""),"",IF(AND(DATE($B$1,1,1)+(26-1)*7&lt;=$D46,DATE($B$1,1,1)+26*7-1&gt;=$C46),1,""))</f>
        <v/>
      </c>
      <c r="AE46" s="10">
        <f>IF(OR($C46="",$D46=""),"",IF(AND(DATE($B$1,1,1)+(27-1)*7&lt;=$D46,DATE($B$1,1,1)+27*7-1&gt;=$C46),1,""))</f>
        <v/>
      </c>
      <c r="AF46" s="10">
        <f>IF(OR($C46="",$D46=""),"",IF(AND(DATE($B$1,1,1)+(28-1)*7&lt;=$D46,DATE($B$1,1,1)+28*7-1&gt;=$C46),1,""))</f>
        <v/>
      </c>
      <c r="AG46" s="10">
        <f>IF(OR($C46="",$D46=""),"",IF(AND(DATE($B$1,1,1)+(29-1)*7&lt;=$D46,DATE($B$1,1,1)+29*7-1&gt;=$C46),1,""))</f>
        <v/>
      </c>
      <c r="AH46" s="10">
        <f>IF(OR($C46="",$D46=""),"",IF(AND(DATE($B$1,1,1)+(30-1)*7&lt;=$D46,DATE($B$1,1,1)+30*7-1&gt;=$C46),1,""))</f>
        <v/>
      </c>
      <c r="AI46" s="10">
        <f>IF(OR($C46="",$D46=""),"",IF(AND(DATE($B$1,1,1)+(31-1)*7&lt;=$D46,DATE($B$1,1,1)+31*7-1&gt;=$C46),1,""))</f>
        <v/>
      </c>
      <c r="AJ46" s="10">
        <f>IF(OR($C46="",$D46=""),"",IF(AND(DATE($B$1,1,1)+(32-1)*7&lt;=$D46,DATE($B$1,1,1)+32*7-1&gt;=$C46),1,""))</f>
        <v/>
      </c>
      <c r="AK46" s="10">
        <f>IF(OR($C46="",$D46=""),"",IF(AND(DATE($B$1,1,1)+(33-1)*7&lt;=$D46,DATE($B$1,1,1)+33*7-1&gt;=$C46),1,""))</f>
        <v/>
      </c>
      <c r="AL46" s="10">
        <f>IF(OR($C46="",$D46=""),"",IF(AND(DATE($B$1,1,1)+(34-1)*7&lt;=$D46,DATE($B$1,1,1)+34*7-1&gt;=$C46),1,""))</f>
        <v/>
      </c>
      <c r="AM46" s="10">
        <f>IF(OR($C46="",$D46=""),"",IF(AND(DATE($B$1,1,1)+(35-1)*7&lt;=$D46,DATE($B$1,1,1)+35*7-1&gt;=$C46),1,""))</f>
        <v/>
      </c>
      <c r="AN46" s="10">
        <f>IF(OR($C46="",$D46=""),"",IF(AND(DATE($B$1,1,1)+(36-1)*7&lt;=$D46,DATE($B$1,1,1)+36*7-1&gt;=$C46),1,""))</f>
        <v/>
      </c>
      <c r="AO46" s="10">
        <f>IF(OR($C46="",$D46=""),"",IF(AND(DATE($B$1,1,1)+(37-1)*7&lt;=$D46,DATE($B$1,1,1)+37*7-1&gt;=$C46),1,""))</f>
        <v/>
      </c>
      <c r="AP46" s="10">
        <f>IF(OR($C46="",$D46=""),"",IF(AND(DATE($B$1,1,1)+(38-1)*7&lt;=$D46,DATE($B$1,1,1)+38*7-1&gt;=$C46),1,""))</f>
        <v/>
      </c>
      <c r="AQ46" s="10">
        <f>IF(OR($C46="",$D46=""),"",IF(AND(DATE($B$1,1,1)+(39-1)*7&lt;=$D46,DATE($B$1,1,1)+39*7-1&gt;=$C46),1,""))</f>
        <v/>
      </c>
      <c r="AR46" s="10">
        <f>IF(OR($C46="",$D46=""),"",IF(AND(DATE($B$1,1,1)+(40-1)*7&lt;=$D46,DATE($B$1,1,1)+40*7-1&gt;=$C46),1,""))</f>
        <v/>
      </c>
      <c r="AS46" s="10">
        <f>IF(OR($C46="",$D46=""),"",IF(AND(DATE($B$1,1,1)+(41-1)*7&lt;=$D46,DATE($B$1,1,1)+41*7-1&gt;=$C46),1,""))</f>
        <v/>
      </c>
      <c r="AT46" s="10">
        <f>IF(OR($C46="",$D46=""),"",IF(AND(DATE($B$1,1,1)+(42-1)*7&lt;=$D46,DATE($B$1,1,1)+42*7-1&gt;=$C46),1,""))</f>
        <v/>
      </c>
      <c r="AU46" s="10">
        <f>IF(OR($C46="",$D46=""),"",IF(AND(DATE($B$1,1,1)+(43-1)*7&lt;=$D46,DATE($B$1,1,1)+43*7-1&gt;=$C46),1,""))</f>
        <v/>
      </c>
      <c r="AV46" s="10">
        <f>IF(OR($C46="",$D46=""),"",IF(AND(DATE($B$1,1,1)+(44-1)*7&lt;=$D46,DATE($B$1,1,1)+44*7-1&gt;=$C46),1,""))</f>
        <v/>
      </c>
      <c r="AW46" s="10">
        <f>IF(OR($C46="",$D46=""),"",IF(AND(DATE($B$1,1,1)+(45-1)*7&lt;=$D46,DATE($B$1,1,1)+45*7-1&gt;=$C46),1,""))</f>
        <v/>
      </c>
      <c r="AX46" s="10">
        <f>IF(OR($C46="",$D46=""),"",IF(AND(DATE($B$1,1,1)+(46-1)*7&lt;=$D46,DATE($B$1,1,1)+46*7-1&gt;=$C46),1,""))</f>
        <v/>
      </c>
      <c r="AY46" s="10">
        <f>IF(OR($C46="",$D46=""),"",IF(AND(DATE($B$1,1,1)+(47-1)*7&lt;=$D46,DATE($B$1,1,1)+47*7-1&gt;=$C46),1,""))</f>
        <v/>
      </c>
      <c r="AZ46" s="10">
        <f>IF(OR($C46="",$D46=""),"",IF(AND(DATE($B$1,1,1)+(48-1)*7&lt;=$D46,DATE($B$1,1,1)+48*7-1&gt;=$C46),1,""))</f>
        <v/>
      </c>
      <c r="BA46" s="10">
        <f>IF(OR($C46="",$D46=""),"",IF(AND(DATE($B$1,1,1)+(49-1)*7&lt;=$D46,DATE($B$1,1,1)+49*7-1&gt;=$C46),1,""))</f>
        <v/>
      </c>
      <c r="BB46" s="10">
        <f>IF(OR($C46="",$D46=""),"",IF(AND(DATE($B$1,1,1)+(50-1)*7&lt;=$D46,DATE($B$1,1,1)+50*7-1&gt;=$C46),1,""))</f>
        <v/>
      </c>
      <c r="BC46" s="10">
        <f>IF(OR($C46="",$D46=""),"",IF(AND(DATE($B$1,1,1)+(51-1)*7&lt;=$D46,DATE($B$1,1,1)+51*7-1&gt;=$C46),1,""))</f>
        <v/>
      </c>
      <c r="BD46" s="10">
        <f>IF(OR($C46="",$D46=""),"",IF(AND(DATE($B$1,1,1)+(52-1)*7&lt;=$D46,DATE($B$1,1,1)+52*7-1&gt;=$C46),1,""))</f>
        <v/>
      </c>
      <c r="BE46" s="10">
        <f>IF(OR($C46="",$D46=""),"",IF(AND(DATE($B$1,1,1)+(53-1)*7&lt;=$D46,DATE($B$1,1,1)+53*7-1&gt;=$C46),1,""))</f>
        <v/>
      </c>
      <c r="BF46" s="10">
        <f>IF(OR($C46="",$D46=""),"",IF(AND(DATE($B$1,1,1)+(54-1)*7&lt;=$D46,DATE($B$1,1,1)+54*7-1&gt;=$C46),1,""))</f>
        <v/>
      </c>
    </row>
    <row r="47">
      <c r="A47" s="6" t="n"/>
      <c r="B47" s="6" t="n"/>
      <c r="C47" s="11" t="n"/>
      <c r="D47" s="11" t="n"/>
      <c r="E47" s="10">
        <f>IF(OR($C47="",$D47=""),"",IF(AND(DATE($B$1,1,1)+(1-1)*7&lt;=$D47,DATE($B$1,1,1)+1*7-1&gt;=$C47),1,""))</f>
        <v/>
      </c>
      <c r="F47" s="10">
        <f>IF(OR($C47="",$D47=""),"",IF(AND(DATE($B$1,1,1)+(2-1)*7&lt;=$D47,DATE($B$1,1,1)+2*7-1&gt;=$C47),1,""))</f>
        <v/>
      </c>
      <c r="G47" s="10">
        <f>IF(OR($C47="",$D47=""),"",IF(AND(DATE($B$1,1,1)+(3-1)*7&lt;=$D47,DATE($B$1,1,1)+3*7-1&gt;=$C47),1,""))</f>
        <v/>
      </c>
      <c r="H47" s="10">
        <f>IF(OR($C47="",$D47=""),"",IF(AND(DATE($B$1,1,1)+(4-1)*7&lt;=$D47,DATE($B$1,1,1)+4*7-1&gt;=$C47),1,""))</f>
        <v/>
      </c>
      <c r="I47" s="10">
        <f>IF(OR($C47="",$D47=""),"",IF(AND(DATE($B$1,1,1)+(5-1)*7&lt;=$D47,DATE($B$1,1,1)+5*7-1&gt;=$C47),1,""))</f>
        <v/>
      </c>
      <c r="J47" s="10">
        <f>IF(OR($C47="",$D47=""),"",IF(AND(DATE($B$1,1,1)+(6-1)*7&lt;=$D47,DATE($B$1,1,1)+6*7-1&gt;=$C47),1,""))</f>
        <v/>
      </c>
      <c r="K47" s="10">
        <f>IF(OR($C47="",$D47=""),"",IF(AND(DATE($B$1,1,1)+(7-1)*7&lt;=$D47,DATE($B$1,1,1)+7*7-1&gt;=$C47),1,""))</f>
        <v/>
      </c>
      <c r="L47" s="10">
        <f>IF(OR($C47="",$D47=""),"",IF(AND(DATE($B$1,1,1)+(8-1)*7&lt;=$D47,DATE($B$1,1,1)+8*7-1&gt;=$C47),1,""))</f>
        <v/>
      </c>
      <c r="M47" s="10">
        <f>IF(OR($C47="",$D47=""),"",IF(AND(DATE($B$1,1,1)+(9-1)*7&lt;=$D47,DATE($B$1,1,1)+9*7-1&gt;=$C47),1,""))</f>
        <v/>
      </c>
      <c r="N47" s="10">
        <f>IF(OR($C47="",$D47=""),"",IF(AND(DATE($B$1,1,1)+(10-1)*7&lt;=$D47,DATE($B$1,1,1)+10*7-1&gt;=$C47),1,""))</f>
        <v/>
      </c>
      <c r="O47" s="10">
        <f>IF(OR($C47="",$D47=""),"",IF(AND(DATE($B$1,1,1)+(11-1)*7&lt;=$D47,DATE($B$1,1,1)+11*7-1&gt;=$C47),1,""))</f>
        <v/>
      </c>
      <c r="P47" s="10">
        <f>IF(OR($C47="",$D47=""),"",IF(AND(DATE($B$1,1,1)+(12-1)*7&lt;=$D47,DATE($B$1,1,1)+12*7-1&gt;=$C47),1,""))</f>
        <v/>
      </c>
      <c r="Q47" s="10">
        <f>IF(OR($C47="",$D47=""),"",IF(AND(DATE($B$1,1,1)+(13-1)*7&lt;=$D47,DATE($B$1,1,1)+13*7-1&gt;=$C47),1,""))</f>
        <v/>
      </c>
      <c r="R47" s="10">
        <f>IF(OR($C47="",$D47=""),"",IF(AND(DATE($B$1,1,1)+(14-1)*7&lt;=$D47,DATE($B$1,1,1)+14*7-1&gt;=$C47),1,""))</f>
        <v/>
      </c>
      <c r="S47" s="10">
        <f>IF(OR($C47="",$D47=""),"",IF(AND(DATE($B$1,1,1)+(15-1)*7&lt;=$D47,DATE($B$1,1,1)+15*7-1&gt;=$C47),1,""))</f>
        <v/>
      </c>
      <c r="T47" s="10">
        <f>IF(OR($C47="",$D47=""),"",IF(AND(DATE($B$1,1,1)+(16-1)*7&lt;=$D47,DATE($B$1,1,1)+16*7-1&gt;=$C47),1,""))</f>
        <v/>
      </c>
      <c r="U47" s="10">
        <f>IF(OR($C47="",$D47=""),"",IF(AND(DATE($B$1,1,1)+(17-1)*7&lt;=$D47,DATE($B$1,1,1)+17*7-1&gt;=$C47),1,""))</f>
        <v/>
      </c>
      <c r="V47" s="10">
        <f>IF(OR($C47="",$D47=""),"",IF(AND(DATE($B$1,1,1)+(18-1)*7&lt;=$D47,DATE($B$1,1,1)+18*7-1&gt;=$C47),1,""))</f>
        <v/>
      </c>
      <c r="W47" s="10">
        <f>IF(OR($C47="",$D47=""),"",IF(AND(DATE($B$1,1,1)+(19-1)*7&lt;=$D47,DATE($B$1,1,1)+19*7-1&gt;=$C47),1,""))</f>
        <v/>
      </c>
      <c r="X47" s="10">
        <f>IF(OR($C47="",$D47=""),"",IF(AND(DATE($B$1,1,1)+(20-1)*7&lt;=$D47,DATE($B$1,1,1)+20*7-1&gt;=$C47),1,""))</f>
        <v/>
      </c>
      <c r="Y47" s="10">
        <f>IF(OR($C47="",$D47=""),"",IF(AND(DATE($B$1,1,1)+(21-1)*7&lt;=$D47,DATE($B$1,1,1)+21*7-1&gt;=$C47),1,""))</f>
        <v/>
      </c>
      <c r="Z47" s="10">
        <f>IF(OR($C47="",$D47=""),"",IF(AND(DATE($B$1,1,1)+(22-1)*7&lt;=$D47,DATE($B$1,1,1)+22*7-1&gt;=$C47),1,""))</f>
        <v/>
      </c>
      <c r="AA47" s="10">
        <f>IF(OR($C47="",$D47=""),"",IF(AND(DATE($B$1,1,1)+(23-1)*7&lt;=$D47,DATE($B$1,1,1)+23*7-1&gt;=$C47),1,""))</f>
        <v/>
      </c>
      <c r="AB47" s="10">
        <f>IF(OR($C47="",$D47=""),"",IF(AND(DATE($B$1,1,1)+(24-1)*7&lt;=$D47,DATE($B$1,1,1)+24*7-1&gt;=$C47),1,""))</f>
        <v/>
      </c>
      <c r="AC47" s="10">
        <f>IF(OR($C47="",$D47=""),"",IF(AND(DATE($B$1,1,1)+(25-1)*7&lt;=$D47,DATE($B$1,1,1)+25*7-1&gt;=$C47),1,""))</f>
        <v/>
      </c>
      <c r="AD47" s="10">
        <f>IF(OR($C47="",$D47=""),"",IF(AND(DATE($B$1,1,1)+(26-1)*7&lt;=$D47,DATE($B$1,1,1)+26*7-1&gt;=$C47),1,""))</f>
        <v/>
      </c>
      <c r="AE47" s="10">
        <f>IF(OR($C47="",$D47=""),"",IF(AND(DATE($B$1,1,1)+(27-1)*7&lt;=$D47,DATE($B$1,1,1)+27*7-1&gt;=$C47),1,""))</f>
        <v/>
      </c>
      <c r="AF47" s="10">
        <f>IF(OR($C47="",$D47=""),"",IF(AND(DATE($B$1,1,1)+(28-1)*7&lt;=$D47,DATE($B$1,1,1)+28*7-1&gt;=$C47),1,""))</f>
        <v/>
      </c>
      <c r="AG47" s="10">
        <f>IF(OR($C47="",$D47=""),"",IF(AND(DATE($B$1,1,1)+(29-1)*7&lt;=$D47,DATE($B$1,1,1)+29*7-1&gt;=$C47),1,""))</f>
        <v/>
      </c>
      <c r="AH47" s="10">
        <f>IF(OR($C47="",$D47=""),"",IF(AND(DATE($B$1,1,1)+(30-1)*7&lt;=$D47,DATE($B$1,1,1)+30*7-1&gt;=$C47),1,""))</f>
        <v/>
      </c>
      <c r="AI47" s="10">
        <f>IF(OR($C47="",$D47=""),"",IF(AND(DATE($B$1,1,1)+(31-1)*7&lt;=$D47,DATE($B$1,1,1)+31*7-1&gt;=$C47),1,""))</f>
        <v/>
      </c>
      <c r="AJ47" s="10">
        <f>IF(OR($C47="",$D47=""),"",IF(AND(DATE($B$1,1,1)+(32-1)*7&lt;=$D47,DATE($B$1,1,1)+32*7-1&gt;=$C47),1,""))</f>
        <v/>
      </c>
      <c r="AK47" s="10">
        <f>IF(OR($C47="",$D47=""),"",IF(AND(DATE($B$1,1,1)+(33-1)*7&lt;=$D47,DATE($B$1,1,1)+33*7-1&gt;=$C47),1,""))</f>
        <v/>
      </c>
      <c r="AL47" s="10">
        <f>IF(OR($C47="",$D47=""),"",IF(AND(DATE($B$1,1,1)+(34-1)*7&lt;=$D47,DATE($B$1,1,1)+34*7-1&gt;=$C47),1,""))</f>
        <v/>
      </c>
      <c r="AM47" s="10">
        <f>IF(OR($C47="",$D47=""),"",IF(AND(DATE($B$1,1,1)+(35-1)*7&lt;=$D47,DATE($B$1,1,1)+35*7-1&gt;=$C47),1,""))</f>
        <v/>
      </c>
      <c r="AN47" s="10">
        <f>IF(OR($C47="",$D47=""),"",IF(AND(DATE($B$1,1,1)+(36-1)*7&lt;=$D47,DATE($B$1,1,1)+36*7-1&gt;=$C47),1,""))</f>
        <v/>
      </c>
      <c r="AO47" s="10">
        <f>IF(OR($C47="",$D47=""),"",IF(AND(DATE($B$1,1,1)+(37-1)*7&lt;=$D47,DATE($B$1,1,1)+37*7-1&gt;=$C47),1,""))</f>
        <v/>
      </c>
      <c r="AP47" s="10">
        <f>IF(OR($C47="",$D47=""),"",IF(AND(DATE($B$1,1,1)+(38-1)*7&lt;=$D47,DATE($B$1,1,1)+38*7-1&gt;=$C47),1,""))</f>
        <v/>
      </c>
      <c r="AQ47" s="10">
        <f>IF(OR($C47="",$D47=""),"",IF(AND(DATE($B$1,1,1)+(39-1)*7&lt;=$D47,DATE($B$1,1,1)+39*7-1&gt;=$C47),1,""))</f>
        <v/>
      </c>
      <c r="AR47" s="10">
        <f>IF(OR($C47="",$D47=""),"",IF(AND(DATE($B$1,1,1)+(40-1)*7&lt;=$D47,DATE($B$1,1,1)+40*7-1&gt;=$C47),1,""))</f>
        <v/>
      </c>
      <c r="AS47" s="10">
        <f>IF(OR($C47="",$D47=""),"",IF(AND(DATE($B$1,1,1)+(41-1)*7&lt;=$D47,DATE($B$1,1,1)+41*7-1&gt;=$C47),1,""))</f>
        <v/>
      </c>
      <c r="AT47" s="10">
        <f>IF(OR($C47="",$D47=""),"",IF(AND(DATE($B$1,1,1)+(42-1)*7&lt;=$D47,DATE($B$1,1,1)+42*7-1&gt;=$C47),1,""))</f>
        <v/>
      </c>
      <c r="AU47" s="10">
        <f>IF(OR($C47="",$D47=""),"",IF(AND(DATE($B$1,1,1)+(43-1)*7&lt;=$D47,DATE($B$1,1,1)+43*7-1&gt;=$C47),1,""))</f>
        <v/>
      </c>
      <c r="AV47" s="10">
        <f>IF(OR($C47="",$D47=""),"",IF(AND(DATE($B$1,1,1)+(44-1)*7&lt;=$D47,DATE($B$1,1,1)+44*7-1&gt;=$C47),1,""))</f>
        <v/>
      </c>
      <c r="AW47" s="10">
        <f>IF(OR($C47="",$D47=""),"",IF(AND(DATE($B$1,1,1)+(45-1)*7&lt;=$D47,DATE($B$1,1,1)+45*7-1&gt;=$C47),1,""))</f>
        <v/>
      </c>
      <c r="AX47" s="10">
        <f>IF(OR($C47="",$D47=""),"",IF(AND(DATE($B$1,1,1)+(46-1)*7&lt;=$D47,DATE($B$1,1,1)+46*7-1&gt;=$C47),1,""))</f>
        <v/>
      </c>
      <c r="AY47" s="10">
        <f>IF(OR($C47="",$D47=""),"",IF(AND(DATE($B$1,1,1)+(47-1)*7&lt;=$D47,DATE($B$1,1,1)+47*7-1&gt;=$C47),1,""))</f>
        <v/>
      </c>
      <c r="AZ47" s="10">
        <f>IF(OR($C47="",$D47=""),"",IF(AND(DATE($B$1,1,1)+(48-1)*7&lt;=$D47,DATE($B$1,1,1)+48*7-1&gt;=$C47),1,""))</f>
        <v/>
      </c>
      <c r="BA47" s="10">
        <f>IF(OR($C47="",$D47=""),"",IF(AND(DATE($B$1,1,1)+(49-1)*7&lt;=$D47,DATE($B$1,1,1)+49*7-1&gt;=$C47),1,""))</f>
        <v/>
      </c>
      <c r="BB47" s="10">
        <f>IF(OR($C47="",$D47=""),"",IF(AND(DATE($B$1,1,1)+(50-1)*7&lt;=$D47,DATE($B$1,1,1)+50*7-1&gt;=$C47),1,""))</f>
        <v/>
      </c>
      <c r="BC47" s="10">
        <f>IF(OR($C47="",$D47=""),"",IF(AND(DATE($B$1,1,1)+(51-1)*7&lt;=$D47,DATE($B$1,1,1)+51*7-1&gt;=$C47),1,""))</f>
        <v/>
      </c>
      <c r="BD47" s="10">
        <f>IF(OR($C47="",$D47=""),"",IF(AND(DATE($B$1,1,1)+(52-1)*7&lt;=$D47,DATE($B$1,1,1)+52*7-1&gt;=$C47),1,""))</f>
        <v/>
      </c>
      <c r="BE47" s="10">
        <f>IF(OR($C47="",$D47=""),"",IF(AND(DATE($B$1,1,1)+(53-1)*7&lt;=$D47,DATE($B$1,1,1)+53*7-1&gt;=$C47),1,""))</f>
        <v/>
      </c>
      <c r="BF47" s="10">
        <f>IF(OR($C47="",$D47=""),"",IF(AND(DATE($B$1,1,1)+(54-1)*7&lt;=$D47,DATE($B$1,1,1)+54*7-1&gt;=$C47),1,""))</f>
        <v/>
      </c>
    </row>
    <row r="48">
      <c r="A48" s="6" t="n"/>
      <c r="B48" s="6" t="n"/>
      <c r="C48" s="11" t="n"/>
      <c r="D48" s="11" t="n"/>
      <c r="E48" s="10">
        <f>IF(OR($C48="",$D48=""),"",IF(AND(DATE($B$1,1,1)+(1-1)*7&lt;=$D48,DATE($B$1,1,1)+1*7-1&gt;=$C48),1,""))</f>
        <v/>
      </c>
      <c r="F48" s="10">
        <f>IF(OR($C48="",$D48=""),"",IF(AND(DATE($B$1,1,1)+(2-1)*7&lt;=$D48,DATE($B$1,1,1)+2*7-1&gt;=$C48),1,""))</f>
        <v/>
      </c>
      <c r="G48" s="10">
        <f>IF(OR($C48="",$D48=""),"",IF(AND(DATE($B$1,1,1)+(3-1)*7&lt;=$D48,DATE($B$1,1,1)+3*7-1&gt;=$C48),1,""))</f>
        <v/>
      </c>
      <c r="H48" s="10">
        <f>IF(OR($C48="",$D48=""),"",IF(AND(DATE($B$1,1,1)+(4-1)*7&lt;=$D48,DATE($B$1,1,1)+4*7-1&gt;=$C48),1,""))</f>
        <v/>
      </c>
      <c r="I48" s="10">
        <f>IF(OR($C48="",$D48=""),"",IF(AND(DATE($B$1,1,1)+(5-1)*7&lt;=$D48,DATE($B$1,1,1)+5*7-1&gt;=$C48),1,""))</f>
        <v/>
      </c>
      <c r="J48" s="10">
        <f>IF(OR($C48="",$D48=""),"",IF(AND(DATE($B$1,1,1)+(6-1)*7&lt;=$D48,DATE($B$1,1,1)+6*7-1&gt;=$C48),1,""))</f>
        <v/>
      </c>
      <c r="K48" s="10">
        <f>IF(OR($C48="",$D48=""),"",IF(AND(DATE($B$1,1,1)+(7-1)*7&lt;=$D48,DATE($B$1,1,1)+7*7-1&gt;=$C48),1,""))</f>
        <v/>
      </c>
      <c r="L48" s="10">
        <f>IF(OR($C48="",$D48=""),"",IF(AND(DATE($B$1,1,1)+(8-1)*7&lt;=$D48,DATE($B$1,1,1)+8*7-1&gt;=$C48),1,""))</f>
        <v/>
      </c>
      <c r="M48" s="10">
        <f>IF(OR($C48="",$D48=""),"",IF(AND(DATE($B$1,1,1)+(9-1)*7&lt;=$D48,DATE($B$1,1,1)+9*7-1&gt;=$C48),1,""))</f>
        <v/>
      </c>
      <c r="N48" s="10">
        <f>IF(OR($C48="",$D48=""),"",IF(AND(DATE($B$1,1,1)+(10-1)*7&lt;=$D48,DATE($B$1,1,1)+10*7-1&gt;=$C48),1,""))</f>
        <v/>
      </c>
      <c r="O48" s="10">
        <f>IF(OR($C48="",$D48=""),"",IF(AND(DATE($B$1,1,1)+(11-1)*7&lt;=$D48,DATE($B$1,1,1)+11*7-1&gt;=$C48),1,""))</f>
        <v/>
      </c>
      <c r="P48" s="10">
        <f>IF(OR($C48="",$D48=""),"",IF(AND(DATE($B$1,1,1)+(12-1)*7&lt;=$D48,DATE($B$1,1,1)+12*7-1&gt;=$C48),1,""))</f>
        <v/>
      </c>
      <c r="Q48" s="10">
        <f>IF(OR($C48="",$D48=""),"",IF(AND(DATE($B$1,1,1)+(13-1)*7&lt;=$D48,DATE($B$1,1,1)+13*7-1&gt;=$C48),1,""))</f>
        <v/>
      </c>
      <c r="R48" s="10">
        <f>IF(OR($C48="",$D48=""),"",IF(AND(DATE($B$1,1,1)+(14-1)*7&lt;=$D48,DATE($B$1,1,1)+14*7-1&gt;=$C48),1,""))</f>
        <v/>
      </c>
      <c r="S48" s="10">
        <f>IF(OR($C48="",$D48=""),"",IF(AND(DATE($B$1,1,1)+(15-1)*7&lt;=$D48,DATE($B$1,1,1)+15*7-1&gt;=$C48),1,""))</f>
        <v/>
      </c>
      <c r="T48" s="10">
        <f>IF(OR($C48="",$D48=""),"",IF(AND(DATE($B$1,1,1)+(16-1)*7&lt;=$D48,DATE($B$1,1,1)+16*7-1&gt;=$C48),1,""))</f>
        <v/>
      </c>
      <c r="U48" s="10">
        <f>IF(OR($C48="",$D48=""),"",IF(AND(DATE($B$1,1,1)+(17-1)*7&lt;=$D48,DATE($B$1,1,1)+17*7-1&gt;=$C48),1,""))</f>
        <v/>
      </c>
      <c r="V48" s="10">
        <f>IF(OR($C48="",$D48=""),"",IF(AND(DATE($B$1,1,1)+(18-1)*7&lt;=$D48,DATE($B$1,1,1)+18*7-1&gt;=$C48),1,""))</f>
        <v/>
      </c>
      <c r="W48" s="10">
        <f>IF(OR($C48="",$D48=""),"",IF(AND(DATE($B$1,1,1)+(19-1)*7&lt;=$D48,DATE($B$1,1,1)+19*7-1&gt;=$C48),1,""))</f>
        <v/>
      </c>
      <c r="X48" s="10">
        <f>IF(OR($C48="",$D48=""),"",IF(AND(DATE($B$1,1,1)+(20-1)*7&lt;=$D48,DATE($B$1,1,1)+20*7-1&gt;=$C48),1,""))</f>
        <v/>
      </c>
      <c r="Y48" s="10">
        <f>IF(OR($C48="",$D48=""),"",IF(AND(DATE($B$1,1,1)+(21-1)*7&lt;=$D48,DATE($B$1,1,1)+21*7-1&gt;=$C48),1,""))</f>
        <v/>
      </c>
      <c r="Z48" s="10">
        <f>IF(OR($C48="",$D48=""),"",IF(AND(DATE($B$1,1,1)+(22-1)*7&lt;=$D48,DATE($B$1,1,1)+22*7-1&gt;=$C48),1,""))</f>
        <v/>
      </c>
      <c r="AA48" s="10">
        <f>IF(OR($C48="",$D48=""),"",IF(AND(DATE($B$1,1,1)+(23-1)*7&lt;=$D48,DATE($B$1,1,1)+23*7-1&gt;=$C48),1,""))</f>
        <v/>
      </c>
      <c r="AB48" s="10">
        <f>IF(OR($C48="",$D48=""),"",IF(AND(DATE($B$1,1,1)+(24-1)*7&lt;=$D48,DATE($B$1,1,1)+24*7-1&gt;=$C48),1,""))</f>
        <v/>
      </c>
      <c r="AC48" s="10">
        <f>IF(OR($C48="",$D48=""),"",IF(AND(DATE($B$1,1,1)+(25-1)*7&lt;=$D48,DATE($B$1,1,1)+25*7-1&gt;=$C48),1,""))</f>
        <v/>
      </c>
      <c r="AD48" s="10">
        <f>IF(OR($C48="",$D48=""),"",IF(AND(DATE($B$1,1,1)+(26-1)*7&lt;=$D48,DATE($B$1,1,1)+26*7-1&gt;=$C48),1,""))</f>
        <v/>
      </c>
      <c r="AE48" s="10">
        <f>IF(OR($C48="",$D48=""),"",IF(AND(DATE($B$1,1,1)+(27-1)*7&lt;=$D48,DATE($B$1,1,1)+27*7-1&gt;=$C48),1,""))</f>
        <v/>
      </c>
      <c r="AF48" s="10">
        <f>IF(OR($C48="",$D48=""),"",IF(AND(DATE($B$1,1,1)+(28-1)*7&lt;=$D48,DATE($B$1,1,1)+28*7-1&gt;=$C48),1,""))</f>
        <v/>
      </c>
      <c r="AG48" s="10">
        <f>IF(OR($C48="",$D48=""),"",IF(AND(DATE($B$1,1,1)+(29-1)*7&lt;=$D48,DATE($B$1,1,1)+29*7-1&gt;=$C48),1,""))</f>
        <v/>
      </c>
      <c r="AH48" s="10">
        <f>IF(OR($C48="",$D48=""),"",IF(AND(DATE($B$1,1,1)+(30-1)*7&lt;=$D48,DATE($B$1,1,1)+30*7-1&gt;=$C48),1,""))</f>
        <v/>
      </c>
      <c r="AI48" s="10">
        <f>IF(OR($C48="",$D48=""),"",IF(AND(DATE($B$1,1,1)+(31-1)*7&lt;=$D48,DATE($B$1,1,1)+31*7-1&gt;=$C48),1,""))</f>
        <v/>
      </c>
      <c r="AJ48" s="10">
        <f>IF(OR($C48="",$D48=""),"",IF(AND(DATE($B$1,1,1)+(32-1)*7&lt;=$D48,DATE($B$1,1,1)+32*7-1&gt;=$C48),1,""))</f>
        <v/>
      </c>
      <c r="AK48" s="10">
        <f>IF(OR($C48="",$D48=""),"",IF(AND(DATE($B$1,1,1)+(33-1)*7&lt;=$D48,DATE($B$1,1,1)+33*7-1&gt;=$C48),1,""))</f>
        <v/>
      </c>
      <c r="AL48" s="10">
        <f>IF(OR($C48="",$D48=""),"",IF(AND(DATE($B$1,1,1)+(34-1)*7&lt;=$D48,DATE($B$1,1,1)+34*7-1&gt;=$C48),1,""))</f>
        <v/>
      </c>
      <c r="AM48" s="10">
        <f>IF(OR($C48="",$D48=""),"",IF(AND(DATE($B$1,1,1)+(35-1)*7&lt;=$D48,DATE($B$1,1,1)+35*7-1&gt;=$C48),1,""))</f>
        <v/>
      </c>
      <c r="AN48" s="10">
        <f>IF(OR($C48="",$D48=""),"",IF(AND(DATE($B$1,1,1)+(36-1)*7&lt;=$D48,DATE($B$1,1,1)+36*7-1&gt;=$C48),1,""))</f>
        <v/>
      </c>
      <c r="AO48" s="10">
        <f>IF(OR($C48="",$D48=""),"",IF(AND(DATE($B$1,1,1)+(37-1)*7&lt;=$D48,DATE($B$1,1,1)+37*7-1&gt;=$C48),1,""))</f>
        <v/>
      </c>
      <c r="AP48" s="10">
        <f>IF(OR($C48="",$D48=""),"",IF(AND(DATE($B$1,1,1)+(38-1)*7&lt;=$D48,DATE($B$1,1,1)+38*7-1&gt;=$C48),1,""))</f>
        <v/>
      </c>
      <c r="AQ48" s="10">
        <f>IF(OR($C48="",$D48=""),"",IF(AND(DATE($B$1,1,1)+(39-1)*7&lt;=$D48,DATE($B$1,1,1)+39*7-1&gt;=$C48),1,""))</f>
        <v/>
      </c>
      <c r="AR48" s="10">
        <f>IF(OR($C48="",$D48=""),"",IF(AND(DATE($B$1,1,1)+(40-1)*7&lt;=$D48,DATE($B$1,1,1)+40*7-1&gt;=$C48),1,""))</f>
        <v/>
      </c>
      <c r="AS48" s="10">
        <f>IF(OR($C48="",$D48=""),"",IF(AND(DATE($B$1,1,1)+(41-1)*7&lt;=$D48,DATE($B$1,1,1)+41*7-1&gt;=$C48),1,""))</f>
        <v/>
      </c>
      <c r="AT48" s="10">
        <f>IF(OR($C48="",$D48=""),"",IF(AND(DATE($B$1,1,1)+(42-1)*7&lt;=$D48,DATE($B$1,1,1)+42*7-1&gt;=$C48),1,""))</f>
        <v/>
      </c>
      <c r="AU48" s="10">
        <f>IF(OR($C48="",$D48=""),"",IF(AND(DATE($B$1,1,1)+(43-1)*7&lt;=$D48,DATE($B$1,1,1)+43*7-1&gt;=$C48),1,""))</f>
        <v/>
      </c>
      <c r="AV48" s="10">
        <f>IF(OR($C48="",$D48=""),"",IF(AND(DATE($B$1,1,1)+(44-1)*7&lt;=$D48,DATE($B$1,1,1)+44*7-1&gt;=$C48),1,""))</f>
        <v/>
      </c>
      <c r="AW48" s="10">
        <f>IF(OR($C48="",$D48=""),"",IF(AND(DATE($B$1,1,1)+(45-1)*7&lt;=$D48,DATE($B$1,1,1)+45*7-1&gt;=$C48),1,""))</f>
        <v/>
      </c>
      <c r="AX48" s="10">
        <f>IF(OR($C48="",$D48=""),"",IF(AND(DATE($B$1,1,1)+(46-1)*7&lt;=$D48,DATE($B$1,1,1)+46*7-1&gt;=$C48),1,""))</f>
        <v/>
      </c>
      <c r="AY48" s="10">
        <f>IF(OR($C48="",$D48=""),"",IF(AND(DATE($B$1,1,1)+(47-1)*7&lt;=$D48,DATE($B$1,1,1)+47*7-1&gt;=$C48),1,""))</f>
        <v/>
      </c>
      <c r="AZ48" s="10">
        <f>IF(OR($C48="",$D48=""),"",IF(AND(DATE($B$1,1,1)+(48-1)*7&lt;=$D48,DATE($B$1,1,1)+48*7-1&gt;=$C48),1,""))</f>
        <v/>
      </c>
      <c r="BA48" s="10">
        <f>IF(OR($C48="",$D48=""),"",IF(AND(DATE($B$1,1,1)+(49-1)*7&lt;=$D48,DATE($B$1,1,1)+49*7-1&gt;=$C48),1,""))</f>
        <v/>
      </c>
      <c r="BB48" s="10">
        <f>IF(OR($C48="",$D48=""),"",IF(AND(DATE($B$1,1,1)+(50-1)*7&lt;=$D48,DATE($B$1,1,1)+50*7-1&gt;=$C48),1,""))</f>
        <v/>
      </c>
      <c r="BC48" s="10">
        <f>IF(OR($C48="",$D48=""),"",IF(AND(DATE($B$1,1,1)+(51-1)*7&lt;=$D48,DATE($B$1,1,1)+51*7-1&gt;=$C48),1,""))</f>
        <v/>
      </c>
      <c r="BD48" s="10">
        <f>IF(OR($C48="",$D48=""),"",IF(AND(DATE($B$1,1,1)+(52-1)*7&lt;=$D48,DATE($B$1,1,1)+52*7-1&gt;=$C48),1,""))</f>
        <v/>
      </c>
      <c r="BE48" s="10">
        <f>IF(OR($C48="",$D48=""),"",IF(AND(DATE($B$1,1,1)+(53-1)*7&lt;=$D48,DATE($B$1,1,1)+53*7-1&gt;=$C48),1,""))</f>
        <v/>
      </c>
      <c r="BF48" s="10">
        <f>IF(OR($C48="",$D48=""),"",IF(AND(DATE($B$1,1,1)+(54-1)*7&lt;=$D48,DATE($B$1,1,1)+54*7-1&gt;=$C48),1,""))</f>
        <v/>
      </c>
    </row>
    <row r="49">
      <c r="A49" s="6" t="n"/>
      <c r="B49" s="6" t="n"/>
      <c r="C49" s="11" t="n"/>
      <c r="D49" s="11" t="n"/>
      <c r="E49" s="10">
        <f>IF(OR($C49="",$D49=""),"",IF(AND(DATE($B$1,1,1)+(1-1)*7&lt;=$D49,DATE($B$1,1,1)+1*7-1&gt;=$C49),1,""))</f>
        <v/>
      </c>
      <c r="F49" s="10">
        <f>IF(OR($C49="",$D49=""),"",IF(AND(DATE($B$1,1,1)+(2-1)*7&lt;=$D49,DATE($B$1,1,1)+2*7-1&gt;=$C49),1,""))</f>
        <v/>
      </c>
      <c r="G49" s="10">
        <f>IF(OR($C49="",$D49=""),"",IF(AND(DATE($B$1,1,1)+(3-1)*7&lt;=$D49,DATE($B$1,1,1)+3*7-1&gt;=$C49),1,""))</f>
        <v/>
      </c>
      <c r="H49" s="10">
        <f>IF(OR($C49="",$D49=""),"",IF(AND(DATE($B$1,1,1)+(4-1)*7&lt;=$D49,DATE($B$1,1,1)+4*7-1&gt;=$C49),1,""))</f>
        <v/>
      </c>
      <c r="I49" s="10">
        <f>IF(OR($C49="",$D49=""),"",IF(AND(DATE($B$1,1,1)+(5-1)*7&lt;=$D49,DATE($B$1,1,1)+5*7-1&gt;=$C49),1,""))</f>
        <v/>
      </c>
      <c r="J49" s="10">
        <f>IF(OR($C49="",$D49=""),"",IF(AND(DATE($B$1,1,1)+(6-1)*7&lt;=$D49,DATE($B$1,1,1)+6*7-1&gt;=$C49),1,""))</f>
        <v/>
      </c>
      <c r="K49" s="10">
        <f>IF(OR($C49="",$D49=""),"",IF(AND(DATE($B$1,1,1)+(7-1)*7&lt;=$D49,DATE($B$1,1,1)+7*7-1&gt;=$C49),1,""))</f>
        <v/>
      </c>
      <c r="L49" s="10">
        <f>IF(OR($C49="",$D49=""),"",IF(AND(DATE($B$1,1,1)+(8-1)*7&lt;=$D49,DATE($B$1,1,1)+8*7-1&gt;=$C49),1,""))</f>
        <v/>
      </c>
      <c r="M49" s="10">
        <f>IF(OR($C49="",$D49=""),"",IF(AND(DATE($B$1,1,1)+(9-1)*7&lt;=$D49,DATE($B$1,1,1)+9*7-1&gt;=$C49),1,""))</f>
        <v/>
      </c>
      <c r="N49" s="10">
        <f>IF(OR($C49="",$D49=""),"",IF(AND(DATE($B$1,1,1)+(10-1)*7&lt;=$D49,DATE($B$1,1,1)+10*7-1&gt;=$C49),1,""))</f>
        <v/>
      </c>
      <c r="O49" s="10">
        <f>IF(OR($C49="",$D49=""),"",IF(AND(DATE($B$1,1,1)+(11-1)*7&lt;=$D49,DATE($B$1,1,1)+11*7-1&gt;=$C49),1,""))</f>
        <v/>
      </c>
      <c r="P49" s="10">
        <f>IF(OR($C49="",$D49=""),"",IF(AND(DATE($B$1,1,1)+(12-1)*7&lt;=$D49,DATE($B$1,1,1)+12*7-1&gt;=$C49),1,""))</f>
        <v/>
      </c>
      <c r="Q49" s="10">
        <f>IF(OR($C49="",$D49=""),"",IF(AND(DATE($B$1,1,1)+(13-1)*7&lt;=$D49,DATE($B$1,1,1)+13*7-1&gt;=$C49),1,""))</f>
        <v/>
      </c>
      <c r="R49" s="10">
        <f>IF(OR($C49="",$D49=""),"",IF(AND(DATE($B$1,1,1)+(14-1)*7&lt;=$D49,DATE($B$1,1,1)+14*7-1&gt;=$C49),1,""))</f>
        <v/>
      </c>
      <c r="S49" s="10">
        <f>IF(OR($C49="",$D49=""),"",IF(AND(DATE($B$1,1,1)+(15-1)*7&lt;=$D49,DATE($B$1,1,1)+15*7-1&gt;=$C49),1,""))</f>
        <v/>
      </c>
      <c r="T49" s="10">
        <f>IF(OR($C49="",$D49=""),"",IF(AND(DATE($B$1,1,1)+(16-1)*7&lt;=$D49,DATE($B$1,1,1)+16*7-1&gt;=$C49),1,""))</f>
        <v/>
      </c>
      <c r="U49" s="10">
        <f>IF(OR($C49="",$D49=""),"",IF(AND(DATE($B$1,1,1)+(17-1)*7&lt;=$D49,DATE($B$1,1,1)+17*7-1&gt;=$C49),1,""))</f>
        <v/>
      </c>
      <c r="V49" s="10">
        <f>IF(OR($C49="",$D49=""),"",IF(AND(DATE($B$1,1,1)+(18-1)*7&lt;=$D49,DATE($B$1,1,1)+18*7-1&gt;=$C49),1,""))</f>
        <v/>
      </c>
      <c r="W49" s="10">
        <f>IF(OR($C49="",$D49=""),"",IF(AND(DATE($B$1,1,1)+(19-1)*7&lt;=$D49,DATE($B$1,1,1)+19*7-1&gt;=$C49),1,""))</f>
        <v/>
      </c>
      <c r="X49" s="10">
        <f>IF(OR($C49="",$D49=""),"",IF(AND(DATE($B$1,1,1)+(20-1)*7&lt;=$D49,DATE($B$1,1,1)+20*7-1&gt;=$C49),1,""))</f>
        <v/>
      </c>
      <c r="Y49" s="10">
        <f>IF(OR($C49="",$D49=""),"",IF(AND(DATE($B$1,1,1)+(21-1)*7&lt;=$D49,DATE($B$1,1,1)+21*7-1&gt;=$C49),1,""))</f>
        <v/>
      </c>
      <c r="Z49" s="10">
        <f>IF(OR($C49="",$D49=""),"",IF(AND(DATE($B$1,1,1)+(22-1)*7&lt;=$D49,DATE($B$1,1,1)+22*7-1&gt;=$C49),1,""))</f>
        <v/>
      </c>
      <c r="AA49" s="10">
        <f>IF(OR($C49="",$D49=""),"",IF(AND(DATE($B$1,1,1)+(23-1)*7&lt;=$D49,DATE($B$1,1,1)+23*7-1&gt;=$C49),1,""))</f>
        <v/>
      </c>
      <c r="AB49" s="10">
        <f>IF(OR($C49="",$D49=""),"",IF(AND(DATE($B$1,1,1)+(24-1)*7&lt;=$D49,DATE($B$1,1,1)+24*7-1&gt;=$C49),1,""))</f>
        <v/>
      </c>
      <c r="AC49" s="10">
        <f>IF(OR($C49="",$D49=""),"",IF(AND(DATE($B$1,1,1)+(25-1)*7&lt;=$D49,DATE($B$1,1,1)+25*7-1&gt;=$C49),1,""))</f>
        <v/>
      </c>
      <c r="AD49" s="10">
        <f>IF(OR($C49="",$D49=""),"",IF(AND(DATE($B$1,1,1)+(26-1)*7&lt;=$D49,DATE($B$1,1,1)+26*7-1&gt;=$C49),1,""))</f>
        <v/>
      </c>
      <c r="AE49" s="10">
        <f>IF(OR($C49="",$D49=""),"",IF(AND(DATE($B$1,1,1)+(27-1)*7&lt;=$D49,DATE($B$1,1,1)+27*7-1&gt;=$C49),1,""))</f>
        <v/>
      </c>
      <c r="AF49" s="10">
        <f>IF(OR($C49="",$D49=""),"",IF(AND(DATE($B$1,1,1)+(28-1)*7&lt;=$D49,DATE($B$1,1,1)+28*7-1&gt;=$C49),1,""))</f>
        <v/>
      </c>
      <c r="AG49" s="10">
        <f>IF(OR($C49="",$D49=""),"",IF(AND(DATE($B$1,1,1)+(29-1)*7&lt;=$D49,DATE($B$1,1,1)+29*7-1&gt;=$C49),1,""))</f>
        <v/>
      </c>
      <c r="AH49" s="10">
        <f>IF(OR($C49="",$D49=""),"",IF(AND(DATE($B$1,1,1)+(30-1)*7&lt;=$D49,DATE($B$1,1,1)+30*7-1&gt;=$C49),1,""))</f>
        <v/>
      </c>
      <c r="AI49" s="10">
        <f>IF(OR($C49="",$D49=""),"",IF(AND(DATE($B$1,1,1)+(31-1)*7&lt;=$D49,DATE($B$1,1,1)+31*7-1&gt;=$C49),1,""))</f>
        <v/>
      </c>
      <c r="AJ49" s="10">
        <f>IF(OR($C49="",$D49=""),"",IF(AND(DATE($B$1,1,1)+(32-1)*7&lt;=$D49,DATE($B$1,1,1)+32*7-1&gt;=$C49),1,""))</f>
        <v/>
      </c>
      <c r="AK49" s="10">
        <f>IF(OR($C49="",$D49=""),"",IF(AND(DATE($B$1,1,1)+(33-1)*7&lt;=$D49,DATE($B$1,1,1)+33*7-1&gt;=$C49),1,""))</f>
        <v/>
      </c>
      <c r="AL49" s="10">
        <f>IF(OR($C49="",$D49=""),"",IF(AND(DATE($B$1,1,1)+(34-1)*7&lt;=$D49,DATE($B$1,1,1)+34*7-1&gt;=$C49),1,""))</f>
        <v/>
      </c>
      <c r="AM49" s="10">
        <f>IF(OR($C49="",$D49=""),"",IF(AND(DATE($B$1,1,1)+(35-1)*7&lt;=$D49,DATE($B$1,1,1)+35*7-1&gt;=$C49),1,""))</f>
        <v/>
      </c>
      <c r="AN49" s="10">
        <f>IF(OR($C49="",$D49=""),"",IF(AND(DATE($B$1,1,1)+(36-1)*7&lt;=$D49,DATE($B$1,1,1)+36*7-1&gt;=$C49),1,""))</f>
        <v/>
      </c>
      <c r="AO49" s="10">
        <f>IF(OR($C49="",$D49=""),"",IF(AND(DATE($B$1,1,1)+(37-1)*7&lt;=$D49,DATE($B$1,1,1)+37*7-1&gt;=$C49),1,""))</f>
        <v/>
      </c>
      <c r="AP49" s="10">
        <f>IF(OR($C49="",$D49=""),"",IF(AND(DATE($B$1,1,1)+(38-1)*7&lt;=$D49,DATE($B$1,1,1)+38*7-1&gt;=$C49),1,""))</f>
        <v/>
      </c>
      <c r="AQ49" s="10">
        <f>IF(OR($C49="",$D49=""),"",IF(AND(DATE($B$1,1,1)+(39-1)*7&lt;=$D49,DATE($B$1,1,1)+39*7-1&gt;=$C49),1,""))</f>
        <v/>
      </c>
      <c r="AR49" s="10">
        <f>IF(OR($C49="",$D49=""),"",IF(AND(DATE($B$1,1,1)+(40-1)*7&lt;=$D49,DATE($B$1,1,1)+40*7-1&gt;=$C49),1,""))</f>
        <v/>
      </c>
      <c r="AS49" s="10">
        <f>IF(OR($C49="",$D49=""),"",IF(AND(DATE($B$1,1,1)+(41-1)*7&lt;=$D49,DATE($B$1,1,1)+41*7-1&gt;=$C49),1,""))</f>
        <v/>
      </c>
      <c r="AT49" s="10">
        <f>IF(OR($C49="",$D49=""),"",IF(AND(DATE($B$1,1,1)+(42-1)*7&lt;=$D49,DATE($B$1,1,1)+42*7-1&gt;=$C49),1,""))</f>
        <v/>
      </c>
      <c r="AU49" s="10">
        <f>IF(OR($C49="",$D49=""),"",IF(AND(DATE($B$1,1,1)+(43-1)*7&lt;=$D49,DATE($B$1,1,1)+43*7-1&gt;=$C49),1,""))</f>
        <v/>
      </c>
      <c r="AV49" s="10">
        <f>IF(OR($C49="",$D49=""),"",IF(AND(DATE($B$1,1,1)+(44-1)*7&lt;=$D49,DATE($B$1,1,1)+44*7-1&gt;=$C49),1,""))</f>
        <v/>
      </c>
      <c r="AW49" s="10">
        <f>IF(OR($C49="",$D49=""),"",IF(AND(DATE($B$1,1,1)+(45-1)*7&lt;=$D49,DATE($B$1,1,1)+45*7-1&gt;=$C49),1,""))</f>
        <v/>
      </c>
      <c r="AX49" s="10">
        <f>IF(OR($C49="",$D49=""),"",IF(AND(DATE($B$1,1,1)+(46-1)*7&lt;=$D49,DATE($B$1,1,1)+46*7-1&gt;=$C49),1,""))</f>
        <v/>
      </c>
      <c r="AY49" s="10">
        <f>IF(OR($C49="",$D49=""),"",IF(AND(DATE($B$1,1,1)+(47-1)*7&lt;=$D49,DATE($B$1,1,1)+47*7-1&gt;=$C49),1,""))</f>
        <v/>
      </c>
      <c r="AZ49" s="10">
        <f>IF(OR($C49="",$D49=""),"",IF(AND(DATE($B$1,1,1)+(48-1)*7&lt;=$D49,DATE($B$1,1,1)+48*7-1&gt;=$C49),1,""))</f>
        <v/>
      </c>
      <c r="BA49" s="10">
        <f>IF(OR($C49="",$D49=""),"",IF(AND(DATE($B$1,1,1)+(49-1)*7&lt;=$D49,DATE($B$1,1,1)+49*7-1&gt;=$C49),1,""))</f>
        <v/>
      </c>
      <c r="BB49" s="10">
        <f>IF(OR($C49="",$D49=""),"",IF(AND(DATE($B$1,1,1)+(50-1)*7&lt;=$D49,DATE($B$1,1,1)+50*7-1&gt;=$C49),1,""))</f>
        <v/>
      </c>
      <c r="BC49" s="10">
        <f>IF(OR($C49="",$D49=""),"",IF(AND(DATE($B$1,1,1)+(51-1)*7&lt;=$D49,DATE($B$1,1,1)+51*7-1&gt;=$C49),1,""))</f>
        <v/>
      </c>
      <c r="BD49" s="10">
        <f>IF(OR($C49="",$D49=""),"",IF(AND(DATE($B$1,1,1)+(52-1)*7&lt;=$D49,DATE($B$1,1,1)+52*7-1&gt;=$C49),1,""))</f>
        <v/>
      </c>
      <c r="BE49" s="10">
        <f>IF(OR($C49="",$D49=""),"",IF(AND(DATE($B$1,1,1)+(53-1)*7&lt;=$D49,DATE($B$1,1,1)+53*7-1&gt;=$C49),1,""))</f>
        <v/>
      </c>
      <c r="BF49" s="10">
        <f>IF(OR($C49="",$D49=""),"",IF(AND(DATE($B$1,1,1)+(54-1)*7&lt;=$D49,DATE($B$1,1,1)+54*7-1&gt;=$C49),1,""))</f>
        <v/>
      </c>
    </row>
    <row r="50">
      <c r="A50" s="6" t="n"/>
      <c r="B50" s="6" t="n"/>
      <c r="C50" s="11" t="n"/>
      <c r="D50" s="11" t="n"/>
      <c r="E50" s="10">
        <f>IF(OR($C50="",$D50=""),"",IF(AND(DATE($B$1,1,1)+(1-1)*7&lt;=$D50,DATE($B$1,1,1)+1*7-1&gt;=$C50),1,""))</f>
        <v/>
      </c>
      <c r="F50" s="10">
        <f>IF(OR($C50="",$D50=""),"",IF(AND(DATE($B$1,1,1)+(2-1)*7&lt;=$D50,DATE($B$1,1,1)+2*7-1&gt;=$C50),1,""))</f>
        <v/>
      </c>
      <c r="G50" s="10">
        <f>IF(OR($C50="",$D50=""),"",IF(AND(DATE($B$1,1,1)+(3-1)*7&lt;=$D50,DATE($B$1,1,1)+3*7-1&gt;=$C50),1,""))</f>
        <v/>
      </c>
      <c r="H50" s="10">
        <f>IF(OR($C50="",$D50=""),"",IF(AND(DATE($B$1,1,1)+(4-1)*7&lt;=$D50,DATE($B$1,1,1)+4*7-1&gt;=$C50),1,""))</f>
        <v/>
      </c>
      <c r="I50" s="10">
        <f>IF(OR($C50="",$D50=""),"",IF(AND(DATE($B$1,1,1)+(5-1)*7&lt;=$D50,DATE($B$1,1,1)+5*7-1&gt;=$C50),1,""))</f>
        <v/>
      </c>
      <c r="J50" s="10">
        <f>IF(OR($C50="",$D50=""),"",IF(AND(DATE($B$1,1,1)+(6-1)*7&lt;=$D50,DATE($B$1,1,1)+6*7-1&gt;=$C50),1,""))</f>
        <v/>
      </c>
      <c r="K50" s="10">
        <f>IF(OR($C50="",$D50=""),"",IF(AND(DATE($B$1,1,1)+(7-1)*7&lt;=$D50,DATE($B$1,1,1)+7*7-1&gt;=$C50),1,""))</f>
        <v/>
      </c>
      <c r="L50" s="10">
        <f>IF(OR($C50="",$D50=""),"",IF(AND(DATE($B$1,1,1)+(8-1)*7&lt;=$D50,DATE($B$1,1,1)+8*7-1&gt;=$C50),1,""))</f>
        <v/>
      </c>
      <c r="M50" s="10">
        <f>IF(OR($C50="",$D50=""),"",IF(AND(DATE($B$1,1,1)+(9-1)*7&lt;=$D50,DATE($B$1,1,1)+9*7-1&gt;=$C50),1,""))</f>
        <v/>
      </c>
      <c r="N50" s="10">
        <f>IF(OR($C50="",$D50=""),"",IF(AND(DATE($B$1,1,1)+(10-1)*7&lt;=$D50,DATE($B$1,1,1)+10*7-1&gt;=$C50),1,""))</f>
        <v/>
      </c>
      <c r="O50" s="10">
        <f>IF(OR($C50="",$D50=""),"",IF(AND(DATE($B$1,1,1)+(11-1)*7&lt;=$D50,DATE($B$1,1,1)+11*7-1&gt;=$C50),1,""))</f>
        <v/>
      </c>
      <c r="P50" s="10">
        <f>IF(OR($C50="",$D50=""),"",IF(AND(DATE($B$1,1,1)+(12-1)*7&lt;=$D50,DATE($B$1,1,1)+12*7-1&gt;=$C50),1,""))</f>
        <v/>
      </c>
      <c r="Q50" s="10">
        <f>IF(OR($C50="",$D50=""),"",IF(AND(DATE($B$1,1,1)+(13-1)*7&lt;=$D50,DATE($B$1,1,1)+13*7-1&gt;=$C50),1,""))</f>
        <v/>
      </c>
      <c r="R50" s="10">
        <f>IF(OR($C50="",$D50=""),"",IF(AND(DATE($B$1,1,1)+(14-1)*7&lt;=$D50,DATE($B$1,1,1)+14*7-1&gt;=$C50),1,""))</f>
        <v/>
      </c>
      <c r="S50" s="10">
        <f>IF(OR($C50="",$D50=""),"",IF(AND(DATE($B$1,1,1)+(15-1)*7&lt;=$D50,DATE($B$1,1,1)+15*7-1&gt;=$C50),1,""))</f>
        <v/>
      </c>
      <c r="T50" s="10">
        <f>IF(OR($C50="",$D50=""),"",IF(AND(DATE($B$1,1,1)+(16-1)*7&lt;=$D50,DATE($B$1,1,1)+16*7-1&gt;=$C50),1,""))</f>
        <v/>
      </c>
      <c r="U50" s="10">
        <f>IF(OR($C50="",$D50=""),"",IF(AND(DATE($B$1,1,1)+(17-1)*7&lt;=$D50,DATE($B$1,1,1)+17*7-1&gt;=$C50),1,""))</f>
        <v/>
      </c>
      <c r="V50" s="10">
        <f>IF(OR($C50="",$D50=""),"",IF(AND(DATE($B$1,1,1)+(18-1)*7&lt;=$D50,DATE($B$1,1,1)+18*7-1&gt;=$C50),1,""))</f>
        <v/>
      </c>
      <c r="W50" s="10">
        <f>IF(OR($C50="",$D50=""),"",IF(AND(DATE($B$1,1,1)+(19-1)*7&lt;=$D50,DATE($B$1,1,1)+19*7-1&gt;=$C50),1,""))</f>
        <v/>
      </c>
      <c r="X50" s="10">
        <f>IF(OR($C50="",$D50=""),"",IF(AND(DATE($B$1,1,1)+(20-1)*7&lt;=$D50,DATE($B$1,1,1)+20*7-1&gt;=$C50),1,""))</f>
        <v/>
      </c>
      <c r="Y50" s="10">
        <f>IF(OR($C50="",$D50=""),"",IF(AND(DATE($B$1,1,1)+(21-1)*7&lt;=$D50,DATE($B$1,1,1)+21*7-1&gt;=$C50),1,""))</f>
        <v/>
      </c>
      <c r="Z50" s="10">
        <f>IF(OR($C50="",$D50=""),"",IF(AND(DATE($B$1,1,1)+(22-1)*7&lt;=$D50,DATE($B$1,1,1)+22*7-1&gt;=$C50),1,""))</f>
        <v/>
      </c>
      <c r="AA50" s="10">
        <f>IF(OR($C50="",$D50=""),"",IF(AND(DATE($B$1,1,1)+(23-1)*7&lt;=$D50,DATE($B$1,1,1)+23*7-1&gt;=$C50),1,""))</f>
        <v/>
      </c>
      <c r="AB50" s="10">
        <f>IF(OR($C50="",$D50=""),"",IF(AND(DATE($B$1,1,1)+(24-1)*7&lt;=$D50,DATE($B$1,1,1)+24*7-1&gt;=$C50),1,""))</f>
        <v/>
      </c>
      <c r="AC50" s="10">
        <f>IF(OR($C50="",$D50=""),"",IF(AND(DATE($B$1,1,1)+(25-1)*7&lt;=$D50,DATE($B$1,1,1)+25*7-1&gt;=$C50),1,""))</f>
        <v/>
      </c>
      <c r="AD50" s="10">
        <f>IF(OR($C50="",$D50=""),"",IF(AND(DATE($B$1,1,1)+(26-1)*7&lt;=$D50,DATE($B$1,1,1)+26*7-1&gt;=$C50),1,""))</f>
        <v/>
      </c>
      <c r="AE50" s="10">
        <f>IF(OR($C50="",$D50=""),"",IF(AND(DATE($B$1,1,1)+(27-1)*7&lt;=$D50,DATE($B$1,1,1)+27*7-1&gt;=$C50),1,""))</f>
        <v/>
      </c>
      <c r="AF50" s="10">
        <f>IF(OR($C50="",$D50=""),"",IF(AND(DATE($B$1,1,1)+(28-1)*7&lt;=$D50,DATE($B$1,1,1)+28*7-1&gt;=$C50),1,""))</f>
        <v/>
      </c>
      <c r="AG50" s="10">
        <f>IF(OR($C50="",$D50=""),"",IF(AND(DATE($B$1,1,1)+(29-1)*7&lt;=$D50,DATE($B$1,1,1)+29*7-1&gt;=$C50),1,""))</f>
        <v/>
      </c>
      <c r="AH50" s="10">
        <f>IF(OR($C50="",$D50=""),"",IF(AND(DATE($B$1,1,1)+(30-1)*7&lt;=$D50,DATE($B$1,1,1)+30*7-1&gt;=$C50),1,""))</f>
        <v/>
      </c>
      <c r="AI50" s="10">
        <f>IF(OR($C50="",$D50=""),"",IF(AND(DATE($B$1,1,1)+(31-1)*7&lt;=$D50,DATE($B$1,1,1)+31*7-1&gt;=$C50),1,""))</f>
        <v/>
      </c>
      <c r="AJ50" s="10">
        <f>IF(OR($C50="",$D50=""),"",IF(AND(DATE($B$1,1,1)+(32-1)*7&lt;=$D50,DATE($B$1,1,1)+32*7-1&gt;=$C50),1,""))</f>
        <v/>
      </c>
      <c r="AK50" s="10">
        <f>IF(OR($C50="",$D50=""),"",IF(AND(DATE($B$1,1,1)+(33-1)*7&lt;=$D50,DATE($B$1,1,1)+33*7-1&gt;=$C50),1,""))</f>
        <v/>
      </c>
      <c r="AL50" s="10">
        <f>IF(OR($C50="",$D50=""),"",IF(AND(DATE($B$1,1,1)+(34-1)*7&lt;=$D50,DATE($B$1,1,1)+34*7-1&gt;=$C50),1,""))</f>
        <v/>
      </c>
      <c r="AM50" s="10">
        <f>IF(OR($C50="",$D50=""),"",IF(AND(DATE($B$1,1,1)+(35-1)*7&lt;=$D50,DATE($B$1,1,1)+35*7-1&gt;=$C50),1,""))</f>
        <v/>
      </c>
      <c r="AN50" s="10">
        <f>IF(OR($C50="",$D50=""),"",IF(AND(DATE($B$1,1,1)+(36-1)*7&lt;=$D50,DATE($B$1,1,1)+36*7-1&gt;=$C50),1,""))</f>
        <v/>
      </c>
      <c r="AO50" s="10">
        <f>IF(OR($C50="",$D50=""),"",IF(AND(DATE($B$1,1,1)+(37-1)*7&lt;=$D50,DATE($B$1,1,1)+37*7-1&gt;=$C50),1,""))</f>
        <v/>
      </c>
      <c r="AP50" s="10">
        <f>IF(OR($C50="",$D50=""),"",IF(AND(DATE($B$1,1,1)+(38-1)*7&lt;=$D50,DATE($B$1,1,1)+38*7-1&gt;=$C50),1,""))</f>
        <v/>
      </c>
      <c r="AQ50" s="10">
        <f>IF(OR($C50="",$D50=""),"",IF(AND(DATE($B$1,1,1)+(39-1)*7&lt;=$D50,DATE($B$1,1,1)+39*7-1&gt;=$C50),1,""))</f>
        <v/>
      </c>
      <c r="AR50" s="10">
        <f>IF(OR($C50="",$D50=""),"",IF(AND(DATE($B$1,1,1)+(40-1)*7&lt;=$D50,DATE($B$1,1,1)+40*7-1&gt;=$C50),1,""))</f>
        <v/>
      </c>
      <c r="AS50" s="10">
        <f>IF(OR($C50="",$D50=""),"",IF(AND(DATE($B$1,1,1)+(41-1)*7&lt;=$D50,DATE($B$1,1,1)+41*7-1&gt;=$C50),1,""))</f>
        <v/>
      </c>
      <c r="AT50" s="10">
        <f>IF(OR($C50="",$D50=""),"",IF(AND(DATE($B$1,1,1)+(42-1)*7&lt;=$D50,DATE($B$1,1,1)+42*7-1&gt;=$C50),1,""))</f>
        <v/>
      </c>
      <c r="AU50" s="10">
        <f>IF(OR($C50="",$D50=""),"",IF(AND(DATE($B$1,1,1)+(43-1)*7&lt;=$D50,DATE($B$1,1,1)+43*7-1&gt;=$C50),1,""))</f>
        <v/>
      </c>
      <c r="AV50" s="10">
        <f>IF(OR($C50="",$D50=""),"",IF(AND(DATE($B$1,1,1)+(44-1)*7&lt;=$D50,DATE($B$1,1,1)+44*7-1&gt;=$C50),1,""))</f>
        <v/>
      </c>
      <c r="AW50" s="10">
        <f>IF(OR($C50="",$D50=""),"",IF(AND(DATE($B$1,1,1)+(45-1)*7&lt;=$D50,DATE($B$1,1,1)+45*7-1&gt;=$C50),1,""))</f>
        <v/>
      </c>
      <c r="AX50" s="10">
        <f>IF(OR($C50="",$D50=""),"",IF(AND(DATE($B$1,1,1)+(46-1)*7&lt;=$D50,DATE($B$1,1,1)+46*7-1&gt;=$C50),1,""))</f>
        <v/>
      </c>
      <c r="AY50" s="10">
        <f>IF(OR($C50="",$D50=""),"",IF(AND(DATE($B$1,1,1)+(47-1)*7&lt;=$D50,DATE($B$1,1,1)+47*7-1&gt;=$C50),1,""))</f>
        <v/>
      </c>
      <c r="AZ50" s="10">
        <f>IF(OR($C50="",$D50=""),"",IF(AND(DATE($B$1,1,1)+(48-1)*7&lt;=$D50,DATE($B$1,1,1)+48*7-1&gt;=$C50),1,""))</f>
        <v/>
      </c>
      <c r="BA50" s="10">
        <f>IF(OR($C50="",$D50=""),"",IF(AND(DATE($B$1,1,1)+(49-1)*7&lt;=$D50,DATE($B$1,1,1)+49*7-1&gt;=$C50),1,""))</f>
        <v/>
      </c>
      <c r="BB50" s="10">
        <f>IF(OR($C50="",$D50=""),"",IF(AND(DATE($B$1,1,1)+(50-1)*7&lt;=$D50,DATE($B$1,1,1)+50*7-1&gt;=$C50),1,""))</f>
        <v/>
      </c>
      <c r="BC50" s="10">
        <f>IF(OR($C50="",$D50=""),"",IF(AND(DATE($B$1,1,1)+(51-1)*7&lt;=$D50,DATE($B$1,1,1)+51*7-1&gt;=$C50),1,""))</f>
        <v/>
      </c>
      <c r="BD50" s="10">
        <f>IF(OR($C50="",$D50=""),"",IF(AND(DATE($B$1,1,1)+(52-1)*7&lt;=$D50,DATE($B$1,1,1)+52*7-1&gt;=$C50),1,""))</f>
        <v/>
      </c>
      <c r="BE50" s="10">
        <f>IF(OR($C50="",$D50=""),"",IF(AND(DATE($B$1,1,1)+(53-1)*7&lt;=$D50,DATE($B$1,1,1)+53*7-1&gt;=$C50),1,""))</f>
        <v/>
      </c>
      <c r="BF50" s="10">
        <f>IF(OR($C50="",$D50=""),"",IF(AND(DATE($B$1,1,1)+(54-1)*7&lt;=$D50,DATE($B$1,1,1)+54*7-1&gt;=$C50),1,""))</f>
        <v/>
      </c>
    </row>
    <row r="51">
      <c r="A51" s="6" t="n"/>
      <c r="B51" s="6" t="n"/>
      <c r="C51" s="11" t="n"/>
      <c r="D51" s="11" t="n"/>
      <c r="E51" s="10">
        <f>IF(OR($C51="",$D51=""),"",IF(AND(DATE($B$1,1,1)+(1-1)*7&lt;=$D51,DATE($B$1,1,1)+1*7-1&gt;=$C51),1,""))</f>
        <v/>
      </c>
      <c r="F51" s="10">
        <f>IF(OR($C51="",$D51=""),"",IF(AND(DATE($B$1,1,1)+(2-1)*7&lt;=$D51,DATE($B$1,1,1)+2*7-1&gt;=$C51),1,""))</f>
        <v/>
      </c>
      <c r="G51" s="10">
        <f>IF(OR($C51="",$D51=""),"",IF(AND(DATE($B$1,1,1)+(3-1)*7&lt;=$D51,DATE($B$1,1,1)+3*7-1&gt;=$C51),1,""))</f>
        <v/>
      </c>
      <c r="H51" s="10">
        <f>IF(OR($C51="",$D51=""),"",IF(AND(DATE($B$1,1,1)+(4-1)*7&lt;=$D51,DATE($B$1,1,1)+4*7-1&gt;=$C51),1,""))</f>
        <v/>
      </c>
      <c r="I51" s="10">
        <f>IF(OR($C51="",$D51=""),"",IF(AND(DATE($B$1,1,1)+(5-1)*7&lt;=$D51,DATE($B$1,1,1)+5*7-1&gt;=$C51),1,""))</f>
        <v/>
      </c>
      <c r="J51" s="10">
        <f>IF(OR($C51="",$D51=""),"",IF(AND(DATE($B$1,1,1)+(6-1)*7&lt;=$D51,DATE($B$1,1,1)+6*7-1&gt;=$C51),1,""))</f>
        <v/>
      </c>
      <c r="K51" s="10">
        <f>IF(OR($C51="",$D51=""),"",IF(AND(DATE($B$1,1,1)+(7-1)*7&lt;=$D51,DATE($B$1,1,1)+7*7-1&gt;=$C51),1,""))</f>
        <v/>
      </c>
      <c r="L51" s="10">
        <f>IF(OR($C51="",$D51=""),"",IF(AND(DATE($B$1,1,1)+(8-1)*7&lt;=$D51,DATE($B$1,1,1)+8*7-1&gt;=$C51),1,""))</f>
        <v/>
      </c>
      <c r="M51" s="10">
        <f>IF(OR($C51="",$D51=""),"",IF(AND(DATE($B$1,1,1)+(9-1)*7&lt;=$D51,DATE($B$1,1,1)+9*7-1&gt;=$C51),1,""))</f>
        <v/>
      </c>
      <c r="N51" s="10">
        <f>IF(OR($C51="",$D51=""),"",IF(AND(DATE($B$1,1,1)+(10-1)*7&lt;=$D51,DATE($B$1,1,1)+10*7-1&gt;=$C51),1,""))</f>
        <v/>
      </c>
      <c r="O51" s="10">
        <f>IF(OR($C51="",$D51=""),"",IF(AND(DATE($B$1,1,1)+(11-1)*7&lt;=$D51,DATE($B$1,1,1)+11*7-1&gt;=$C51),1,""))</f>
        <v/>
      </c>
      <c r="P51" s="10">
        <f>IF(OR($C51="",$D51=""),"",IF(AND(DATE($B$1,1,1)+(12-1)*7&lt;=$D51,DATE($B$1,1,1)+12*7-1&gt;=$C51),1,""))</f>
        <v/>
      </c>
      <c r="Q51" s="10">
        <f>IF(OR($C51="",$D51=""),"",IF(AND(DATE($B$1,1,1)+(13-1)*7&lt;=$D51,DATE($B$1,1,1)+13*7-1&gt;=$C51),1,""))</f>
        <v/>
      </c>
      <c r="R51" s="10">
        <f>IF(OR($C51="",$D51=""),"",IF(AND(DATE($B$1,1,1)+(14-1)*7&lt;=$D51,DATE($B$1,1,1)+14*7-1&gt;=$C51),1,""))</f>
        <v/>
      </c>
      <c r="S51" s="10">
        <f>IF(OR($C51="",$D51=""),"",IF(AND(DATE($B$1,1,1)+(15-1)*7&lt;=$D51,DATE($B$1,1,1)+15*7-1&gt;=$C51),1,""))</f>
        <v/>
      </c>
      <c r="T51" s="10">
        <f>IF(OR($C51="",$D51=""),"",IF(AND(DATE($B$1,1,1)+(16-1)*7&lt;=$D51,DATE($B$1,1,1)+16*7-1&gt;=$C51),1,""))</f>
        <v/>
      </c>
      <c r="U51" s="10">
        <f>IF(OR($C51="",$D51=""),"",IF(AND(DATE($B$1,1,1)+(17-1)*7&lt;=$D51,DATE($B$1,1,1)+17*7-1&gt;=$C51),1,""))</f>
        <v/>
      </c>
      <c r="V51" s="10">
        <f>IF(OR($C51="",$D51=""),"",IF(AND(DATE($B$1,1,1)+(18-1)*7&lt;=$D51,DATE($B$1,1,1)+18*7-1&gt;=$C51),1,""))</f>
        <v/>
      </c>
      <c r="W51" s="10">
        <f>IF(OR($C51="",$D51=""),"",IF(AND(DATE($B$1,1,1)+(19-1)*7&lt;=$D51,DATE($B$1,1,1)+19*7-1&gt;=$C51),1,""))</f>
        <v/>
      </c>
      <c r="X51" s="10">
        <f>IF(OR($C51="",$D51=""),"",IF(AND(DATE($B$1,1,1)+(20-1)*7&lt;=$D51,DATE($B$1,1,1)+20*7-1&gt;=$C51),1,""))</f>
        <v/>
      </c>
      <c r="Y51" s="10">
        <f>IF(OR($C51="",$D51=""),"",IF(AND(DATE($B$1,1,1)+(21-1)*7&lt;=$D51,DATE($B$1,1,1)+21*7-1&gt;=$C51),1,""))</f>
        <v/>
      </c>
      <c r="Z51" s="10">
        <f>IF(OR($C51="",$D51=""),"",IF(AND(DATE($B$1,1,1)+(22-1)*7&lt;=$D51,DATE($B$1,1,1)+22*7-1&gt;=$C51),1,""))</f>
        <v/>
      </c>
      <c r="AA51" s="10">
        <f>IF(OR($C51="",$D51=""),"",IF(AND(DATE($B$1,1,1)+(23-1)*7&lt;=$D51,DATE($B$1,1,1)+23*7-1&gt;=$C51),1,""))</f>
        <v/>
      </c>
      <c r="AB51" s="10">
        <f>IF(OR($C51="",$D51=""),"",IF(AND(DATE($B$1,1,1)+(24-1)*7&lt;=$D51,DATE($B$1,1,1)+24*7-1&gt;=$C51),1,""))</f>
        <v/>
      </c>
      <c r="AC51" s="10">
        <f>IF(OR($C51="",$D51=""),"",IF(AND(DATE($B$1,1,1)+(25-1)*7&lt;=$D51,DATE($B$1,1,1)+25*7-1&gt;=$C51),1,""))</f>
        <v/>
      </c>
      <c r="AD51" s="10">
        <f>IF(OR($C51="",$D51=""),"",IF(AND(DATE($B$1,1,1)+(26-1)*7&lt;=$D51,DATE($B$1,1,1)+26*7-1&gt;=$C51),1,""))</f>
        <v/>
      </c>
      <c r="AE51" s="10">
        <f>IF(OR($C51="",$D51=""),"",IF(AND(DATE($B$1,1,1)+(27-1)*7&lt;=$D51,DATE($B$1,1,1)+27*7-1&gt;=$C51),1,""))</f>
        <v/>
      </c>
      <c r="AF51" s="10">
        <f>IF(OR($C51="",$D51=""),"",IF(AND(DATE($B$1,1,1)+(28-1)*7&lt;=$D51,DATE($B$1,1,1)+28*7-1&gt;=$C51),1,""))</f>
        <v/>
      </c>
      <c r="AG51" s="10">
        <f>IF(OR($C51="",$D51=""),"",IF(AND(DATE($B$1,1,1)+(29-1)*7&lt;=$D51,DATE($B$1,1,1)+29*7-1&gt;=$C51),1,""))</f>
        <v/>
      </c>
      <c r="AH51" s="10">
        <f>IF(OR($C51="",$D51=""),"",IF(AND(DATE($B$1,1,1)+(30-1)*7&lt;=$D51,DATE($B$1,1,1)+30*7-1&gt;=$C51),1,""))</f>
        <v/>
      </c>
      <c r="AI51" s="10">
        <f>IF(OR($C51="",$D51=""),"",IF(AND(DATE($B$1,1,1)+(31-1)*7&lt;=$D51,DATE($B$1,1,1)+31*7-1&gt;=$C51),1,""))</f>
        <v/>
      </c>
      <c r="AJ51" s="10">
        <f>IF(OR($C51="",$D51=""),"",IF(AND(DATE($B$1,1,1)+(32-1)*7&lt;=$D51,DATE($B$1,1,1)+32*7-1&gt;=$C51),1,""))</f>
        <v/>
      </c>
      <c r="AK51" s="10">
        <f>IF(OR($C51="",$D51=""),"",IF(AND(DATE($B$1,1,1)+(33-1)*7&lt;=$D51,DATE($B$1,1,1)+33*7-1&gt;=$C51),1,""))</f>
        <v/>
      </c>
      <c r="AL51" s="10">
        <f>IF(OR($C51="",$D51=""),"",IF(AND(DATE($B$1,1,1)+(34-1)*7&lt;=$D51,DATE($B$1,1,1)+34*7-1&gt;=$C51),1,""))</f>
        <v/>
      </c>
      <c r="AM51" s="10">
        <f>IF(OR($C51="",$D51=""),"",IF(AND(DATE($B$1,1,1)+(35-1)*7&lt;=$D51,DATE($B$1,1,1)+35*7-1&gt;=$C51),1,""))</f>
        <v/>
      </c>
      <c r="AN51" s="10">
        <f>IF(OR($C51="",$D51=""),"",IF(AND(DATE($B$1,1,1)+(36-1)*7&lt;=$D51,DATE($B$1,1,1)+36*7-1&gt;=$C51),1,""))</f>
        <v/>
      </c>
      <c r="AO51" s="10">
        <f>IF(OR($C51="",$D51=""),"",IF(AND(DATE($B$1,1,1)+(37-1)*7&lt;=$D51,DATE($B$1,1,1)+37*7-1&gt;=$C51),1,""))</f>
        <v/>
      </c>
      <c r="AP51" s="10">
        <f>IF(OR($C51="",$D51=""),"",IF(AND(DATE($B$1,1,1)+(38-1)*7&lt;=$D51,DATE($B$1,1,1)+38*7-1&gt;=$C51),1,""))</f>
        <v/>
      </c>
      <c r="AQ51" s="10">
        <f>IF(OR($C51="",$D51=""),"",IF(AND(DATE($B$1,1,1)+(39-1)*7&lt;=$D51,DATE($B$1,1,1)+39*7-1&gt;=$C51),1,""))</f>
        <v/>
      </c>
      <c r="AR51" s="10">
        <f>IF(OR($C51="",$D51=""),"",IF(AND(DATE($B$1,1,1)+(40-1)*7&lt;=$D51,DATE($B$1,1,1)+40*7-1&gt;=$C51),1,""))</f>
        <v/>
      </c>
      <c r="AS51" s="10">
        <f>IF(OR($C51="",$D51=""),"",IF(AND(DATE($B$1,1,1)+(41-1)*7&lt;=$D51,DATE($B$1,1,1)+41*7-1&gt;=$C51),1,""))</f>
        <v/>
      </c>
      <c r="AT51" s="10">
        <f>IF(OR($C51="",$D51=""),"",IF(AND(DATE($B$1,1,1)+(42-1)*7&lt;=$D51,DATE($B$1,1,1)+42*7-1&gt;=$C51),1,""))</f>
        <v/>
      </c>
      <c r="AU51" s="10">
        <f>IF(OR($C51="",$D51=""),"",IF(AND(DATE($B$1,1,1)+(43-1)*7&lt;=$D51,DATE($B$1,1,1)+43*7-1&gt;=$C51),1,""))</f>
        <v/>
      </c>
      <c r="AV51" s="10">
        <f>IF(OR($C51="",$D51=""),"",IF(AND(DATE($B$1,1,1)+(44-1)*7&lt;=$D51,DATE($B$1,1,1)+44*7-1&gt;=$C51),1,""))</f>
        <v/>
      </c>
      <c r="AW51" s="10">
        <f>IF(OR($C51="",$D51=""),"",IF(AND(DATE($B$1,1,1)+(45-1)*7&lt;=$D51,DATE($B$1,1,1)+45*7-1&gt;=$C51),1,""))</f>
        <v/>
      </c>
      <c r="AX51" s="10">
        <f>IF(OR($C51="",$D51=""),"",IF(AND(DATE($B$1,1,1)+(46-1)*7&lt;=$D51,DATE($B$1,1,1)+46*7-1&gt;=$C51),1,""))</f>
        <v/>
      </c>
      <c r="AY51" s="10">
        <f>IF(OR($C51="",$D51=""),"",IF(AND(DATE($B$1,1,1)+(47-1)*7&lt;=$D51,DATE($B$1,1,1)+47*7-1&gt;=$C51),1,""))</f>
        <v/>
      </c>
      <c r="AZ51" s="10">
        <f>IF(OR($C51="",$D51=""),"",IF(AND(DATE($B$1,1,1)+(48-1)*7&lt;=$D51,DATE($B$1,1,1)+48*7-1&gt;=$C51),1,""))</f>
        <v/>
      </c>
      <c r="BA51" s="10">
        <f>IF(OR($C51="",$D51=""),"",IF(AND(DATE($B$1,1,1)+(49-1)*7&lt;=$D51,DATE($B$1,1,1)+49*7-1&gt;=$C51),1,""))</f>
        <v/>
      </c>
      <c r="BB51" s="10">
        <f>IF(OR($C51="",$D51=""),"",IF(AND(DATE($B$1,1,1)+(50-1)*7&lt;=$D51,DATE($B$1,1,1)+50*7-1&gt;=$C51),1,""))</f>
        <v/>
      </c>
      <c r="BC51" s="10">
        <f>IF(OR($C51="",$D51=""),"",IF(AND(DATE($B$1,1,1)+(51-1)*7&lt;=$D51,DATE($B$1,1,1)+51*7-1&gt;=$C51),1,""))</f>
        <v/>
      </c>
      <c r="BD51" s="10">
        <f>IF(OR($C51="",$D51=""),"",IF(AND(DATE($B$1,1,1)+(52-1)*7&lt;=$D51,DATE($B$1,1,1)+52*7-1&gt;=$C51),1,""))</f>
        <v/>
      </c>
      <c r="BE51" s="10">
        <f>IF(OR($C51="",$D51=""),"",IF(AND(DATE($B$1,1,1)+(53-1)*7&lt;=$D51,DATE($B$1,1,1)+53*7-1&gt;=$C51),1,""))</f>
        <v/>
      </c>
      <c r="BF51" s="10">
        <f>IF(OR($C51="",$D51=""),"",IF(AND(DATE($B$1,1,1)+(54-1)*7&lt;=$D51,DATE($B$1,1,1)+54*7-1&gt;=$C51),1,""))</f>
        <v/>
      </c>
    </row>
    <row r="52">
      <c r="A52" s="6" t="n"/>
      <c r="B52" s="6" t="n"/>
      <c r="C52" s="11" t="n"/>
      <c r="D52" s="11" t="n"/>
      <c r="E52" s="10">
        <f>IF(OR($C52="",$D52=""),"",IF(AND(DATE($B$1,1,1)+(1-1)*7&lt;=$D52,DATE($B$1,1,1)+1*7-1&gt;=$C52),1,""))</f>
        <v/>
      </c>
      <c r="F52" s="10">
        <f>IF(OR($C52="",$D52=""),"",IF(AND(DATE($B$1,1,1)+(2-1)*7&lt;=$D52,DATE($B$1,1,1)+2*7-1&gt;=$C52),1,""))</f>
        <v/>
      </c>
      <c r="G52" s="10">
        <f>IF(OR($C52="",$D52=""),"",IF(AND(DATE($B$1,1,1)+(3-1)*7&lt;=$D52,DATE($B$1,1,1)+3*7-1&gt;=$C52),1,""))</f>
        <v/>
      </c>
      <c r="H52" s="10">
        <f>IF(OR($C52="",$D52=""),"",IF(AND(DATE($B$1,1,1)+(4-1)*7&lt;=$D52,DATE($B$1,1,1)+4*7-1&gt;=$C52),1,""))</f>
        <v/>
      </c>
      <c r="I52" s="10">
        <f>IF(OR($C52="",$D52=""),"",IF(AND(DATE($B$1,1,1)+(5-1)*7&lt;=$D52,DATE($B$1,1,1)+5*7-1&gt;=$C52),1,""))</f>
        <v/>
      </c>
      <c r="J52" s="10">
        <f>IF(OR($C52="",$D52=""),"",IF(AND(DATE($B$1,1,1)+(6-1)*7&lt;=$D52,DATE($B$1,1,1)+6*7-1&gt;=$C52),1,""))</f>
        <v/>
      </c>
      <c r="K52" s="10">
        <f>IF(OR($C52="",$D52=""),"",IF(AND(DATE($B$1,1,1)+(7-1)*7&lt;=$D52,DATE($B$1,1,1)+7*7-1&gt;=$C52),1,""))</f>
        <v/>
      </c>
      <c r="L52" s="10">
        <f>IF(OR($C52="",$D52=""),"",IF(AND(DATE($B$1,1,1)+(8-1)*7&lt;=$D52,DATE($B$1,1,1)+8*7-1&gt;=$C52),1,""))</f>
        <v/>
      </c>
      <c r="M52" s="10">
        <f>IF(OR($C52="",$D52=""),"",IF(AND(DATE($B$1,1,1)+(9-1)*7&lt;=$D52,DATE($B$1,1,1)+9*7-1&gt;=$C52),1,""))</f>
        <v/>
      </c>
      <c r="N52" s="10">
        <f>IF(OR($C52="",$D52=""),"",IF(AND(DATE($B$1,1,1)+(10-1)*7&lt;=$D52,DATE($B$1,1,1)+10*7-1&gt;=$C52),1,""))</f>
        <v/>
      </c>
      <c r="O52" s="10">
        <f>IF(OR($C52="",$D52=""),"",IF(AND(DATE($B$1,1,1)+(11-1)*7&lt;=$D52,DATE($B$1,1,1)+11*7-1&gt;=$C52),1,""))</f>
        <v/>
      </c>
      <c r="P52" s="10">
        <f>IF(OR($C52="",$D52=""),"",IF(AND(DATE($B$1,1,1)+(12-1)*7&lt;=$D52,DATE($B$1,1,1)+12*7-1&gt;=$C52),1,""))</f>
        <v/>
      </c>
      <c r="Q52" s="10">
        <f>IF(OR($C52="",$D52=""),"",IF(AND(DATE($B$1,1,1)+(13-1)*7&lt;=$D52,DATE($B$1,1,1)+13*7-1&gt;=$C52),1,""))</f>
        <v/>
      </c>
      <c r="R52" s="10">
        <f>IF(OR($C52="",$D52=""),"",IF(AND(DATE($B$1,1,1)+(14-1)*7&lt;=$D52,DATE($B$1,1,1)+14*7-1&gt;=$C52),1,""))</f>
        <v/>
      </c>
      <c r="S52" s="10">
        <f>IF(OR($C52="",$D52=""),"",IF(AND(DATE($B$1,1,1)+(15-1)*7&lt;=$D52,DATE($B$1,1,1)+15*7-1&gt;=$C52),1,""))</f>
        <v/>
      </c>
      <c r="T52" s="10">
        <f>IF(OR($C52="",$D52=""),"",IF(AND(DATE($B$1,1,1)+(16-1)*7&lt;=$D52,DATE($B$1,1,1)+16*7-1&gt;=$C52),1,""))</f>
        <v/>
      </c>
      <c r="U52" s="10">
        <f>IF(OR($C52="",$D52=""),"",IF(AND(DATE($B$1,1,1)+(17-1)*7&lt;=$D52,DATE($B$1,1,1)+17*7-1&gt;=$C52),1,""))</f>
        <v/>
      </c>
      <c r="V52" s="10">
        <f>IF(OR($C52="",$D52=""),"",IF(AND(DATE($B$1,1,1)+(18-1)*7&lt;=$D52,DATE($B$1,1,1)+18*7-1&gt;=$C52),1,""))</f>
        <v/>
      </c>
      <c r="W52" s="10">
        <f>IF(OR($C52="",$D52=""),"",IF(AND(DATE($B$1,1,1)+(19-1)*7&lt;=$D52,DATE($B$1,1,1)+19*7-1&gt;=$C52),1,""))</f>
        <v/>
      </c>
      <c r="X52" s="10">
        <f>IF(OR($C52="",$D52=""),"",IF(AND(DATE($B$1,1,1)+(20-1)*7&lt;=$D52,DATE($B$1,1,1)+20*7-1&gt;=$C52),1,""))</f>
        <v/>
      </c>
      <c r="Y52" s="10">
        <f>IF(OR($C52="",$D52=""),"",IF(AND(DATE($B$1,1,1)+(21-1)*7&lt;=$D52,DATE($B$1,1,1)+21*7-1&gt;=$C52),1,""))</f>
        <v/>
      </c>
      <c r="Z52" s="10">
        <f>IF(OR($C52="",$D52=""),"",IF(AND(DATE($B$1,1,1)+(22-1)*7&lt;=$D52,DATE($B$1,1,1)+22*7-1&gt;=$C52),1,""))</f>
        <v/>
      </c>
      <c r="AA52" s="10">
        <f>IF(OR($C52="",$D52=""),"",IF(AND(DATE($B$1,1,1)+(23-1)*7&lt;=$D52,DATE($B$1,1,1)+23*7-1&gt;=$C52),1,""))</f>
        <v/>
      </c>
      <c r="AB52" s="10">
        <f>IF(OR($C52="",$D52=""),"",IF(AND(DATE($B$1,1,1)+(24-1)*7&lt;=$D52,DATE($B$1,1,1)+24*7-1&gt;=$C52),1,""))</f>
        <v/>
      </c>
      <c r="AC52" s="10">
        <f>IF(OR($C52="",$D52=""),"",IF(AND(DATE($B$1,1,1)+(25-1)*7&lt;=$D52,DATE($B$1,1,1)+25*7-1&gt;=$C52),1,""))</f>
        <v/>
      </c>
      <c r="AD52" s="10">
        <f>IF(OR($C52="",$D52=""),"",IF(AND(DATE($B$1,1,1)+(26-1)*7&lt;=$D52,DATE($B$1,1,1)+26*7-1&gt;=$C52),1,""))</f>
        <v/>
      </c>
      <c r="AE52" s="10">
        <f>IF(OR($C52="",$D52=""),"",IF(AND(DATE($B$1,1,1)+(27-1)*7&lt;=$D52,DATE($B$1,1,1)+27*7-1&gt;=$C52),1,""))</f>
        <v/>
      </c>
      <c r="AF52" s="10">
        <f>IF(OR($C52="",$D52=""),"",IF(AND(DATE($B$1,1,1)+(28-1)*7&lt;=$D52,DATE($B$1,1,1)+28*7-1&gt;=$C52),1,""))</f>
        <v/>
      </c>
      <c r="AG52" s="10">
        <f>IF(OR($C52="",$D52=""),"",IF(AND(DATE($B$1,1,1)+(29-1)*7&lt;=$D52,DATE($B$1,1,1)+29*7-1&gt;=$C52),1,""))</f>
        <v/>
      </c>
      <c r="AH52" s="10">
        <f>IF(OR($C52="",$D52=""),"",IF(AND(DATE($B$1,1,1)+(30-1)*7&lt;=$D52,DATE($B$1,1,1)+30*7-1&gt;=$C52),1,""))</f>
        <v/>
      </c>
      <c r="AI52" s="10">
        <f>IF(OR($C52="",$D52=""),"",IF(AND(DATE($B$1,1,1)+(31-1)*7&lt;=$D52,DATE($B$1,1,1)+31*7-1&gt;=$C52),1,""))</f>
        <v/>
      </c>
      <c r="AJ52" s="10">
        <f>IF(OR($C52="",$D52=""),"",IF(AND(DATE($B$1,1,1)+(32-1)*7&lt;=$D52,DATE($B$1,1,1)+32*7-1&gt;=$C52),1,""))</f>
        <v/>
      </c>
      <c r="AK52" s="10">
        <f>IF(OR($C52="",$D52=""),"",IF(AND(DATE($B$1,1,1)+(33-1)*7&lt;=$D52,DATE($B$1,1,1)+33*7-1&gt;=$C52),1,""))</f>
        <v/>
      </c>
      <c r="AL52" s="10">
        <f>IF(OR($C52="",$D52=""),"",IF(AND(DATE($B$1,1,1)+(34-1)*7&lt;=$D52,DATE($B$1,1,1)+34*7-1&gt;=$C52),1,""))</f>
        <v/>
      </c>
      <c r="AM52" s="10">
        <f>IF(OR($C52="",$D52=""),"",IF(AND(DATE($B$1,1,1)+(35-1)*7&lt;=$D52,DATE($B$1,1,1)+35*7-1&gt;=$C52),1,""))</f>
        <v/>
      </c>
      <c r="AN52" s="10">
        <f>IF(OR($C52="",$D52=""),"",IF(AND(DATE($B$1,1,1)+(36-1)*7&lt;=$D52,DATE($B$1,1,1)+36*7-1&gt;=$C52),1,""))</f>
        <v/>
      </c>
      <c r="AO52" s="10">
        <f>IF(OR($C52="",$D52=""),"",IF(AND(DATE($B$1,1,1)+(37-1)*7&lt;=$D52,DATE($B$1,1,1)+37*7-1&gt;=$C52),1,""))</f>
        <v/>
      </c>
      <c r="AP52" s="10">
        <f>IF(OR($C52="",$D52=""),"",IF(AND(DATE($B$1,1,1)+(38-1)*7&lt;=$D52,DATE($B$1,1,1)+38*7-1&gt;=$C52),1,""))</f>
        <v/>
      </c>
      <c r="AQ52" s="10">
        <f>IF(OR($C52="",$D52=""),"",IF(AND(DATE($B$1,1,1)+(39-1)*7&lt;=$D52,DATE($B$1,1,1)+39*7-1&gt;=$C52),1,""))</f>
        <v/>
      </c>
      <c r="AR52" s="10">
        <f>IF(OR($C52="",$D52=""),"",IF(AND(DATE($B$1,1,1)+(40-1)*7&lt;=$D52,DATE($B$1,1,1)+40*7-1&gt;=$C52),1,""))</f>
        <v/>
      </c>
      <c r="AS52" s="10">
        <f>IF(OR($C52="",$D52=""),"",IF(AND(DATE($B$1,1,1)+(41-1)*7&lt;=$D52,DATE($B$1,1,1)+41*7-1&gt;=$C52),1,""))</f>
        <v/>
      </c>
      <c r="AT52" s="10">
        <f>IF(OR($C52="",$D52=""),"",IF(AND(DATE($B$1,1,1)+(42-1)*7&lt;=$D52,DATE($B$1,1,1)+42*7-1&gt;=$C52),1,""))</f>
        <v/>
      </c>
      <c r="AU52" s="10">
        <f>IF(OR($C52="",$D52=""),"",IF(AND(DATE($B$1,1,1)+(43-1)*7&lt;=$D52,DATE($B$1,1,1)+43*7-1&gt;=$C52),1,""))</f>
        <v/>
      </c>
      <c r="AV52" s="10">
        <f>IF(OR($C52="",$D52=""),"",IF(AND(DATE($B$1,1,1)+(44-1)*7&lt;=$D52,DATE($B$1,1,1)+44*7-1&gt;=$C52),1,""))</f>
        <v/>
      </c>
      <c r="AW52" s="10">
        <f>IF(OR($C52="",$D52=""),"",IF(AND(DATE($B$1,1,1)+(45-1)*7&lt;=$D52,DATE($B$1,1,1)+45*7-1&gt;=$C52),1,""))</f>
        <v/>
      </c>
      <c r="AX52" s="10">
        <f>IF(OR($C52="",$D52=""),"",IF(AND(DATE($B$1,1,1)+(46-1)*7&lt;=$D52,DATE($B$1,1,1)+46*7-1&gt;=$C52),1,""))</f>
        <v/>
      </c>
      <c r="AY52" s="10">
        <f>IF(OR($C52="",$D52=""),"",IF(AND(DATE($B$1,1,1)+(47-1)*7&lt;=$D52,DATE($B$1,1,1)+47*7-1&gt;=$C52),1,""))</f>
        <v/>
      </c>
      <c r="AZ52" s="10">
        <f>IF(OR($C52="",$D52=""),"",IF(AND(DATE($B$1,1,1)+(48-1)*7&lt;=$D52,DATE($B$1,1,1)+48*7-1&gt;=$C52),1,""))</f>
        <v/>
      </c>
      <c r="BA52" s="10">
        <f>IF(OR($C52="",$D52=""),"",IF(AND(DATE($B$1,1,1)+(49-1)*7&lt;=$D52,DATE($B$1,1,1)+49*7-1&gt;=$C52),1,""))</f>
        <v/>
      </c>
      <c r="BB52" s="10">
        <f>IF(OR($C52="",$D52=""),"",IF(AND(DATE($B$1,1,1)+(50-1)*7&lt;=$D52,DATE($B$1,1,1)+50*7-1&gt;=$C52),1,""))</f>
        <v/>
      </c>
      <c r="BC52" s="10">
        <f>IF(OR($C52="",$D52=""),"",IF(AND(DATE($B$1,1,1)+(51-1)*7&lt;=$D52,DATE($B$1,1,1)+51*7-1&gt;=$C52),1,""))</f>
        <v/>
      </c>
      <c r="BD52" s="10">
        <f>IF(OR($C52="",$D52=""),"",IF(AND(DATE($B$1,1,1)+(52-1)*7&lt;=$D52,DATE($B$1,1,1)+52*7-1&gt;=$C52),1,""))</f>
        <v/>
      </c>
      <c r="BE52" s="10">
        <f>IF(OR($C52="",$D52=""),"",IF(AND(DATE($B$1,1,1)+(53-1)*7&lt;=$D52,DATE($B$1,1,1)+53*7-1&gt;=$C52),1,""))</f>
        <v/>
      </c>
      <c r="BF52" s="10">
        <f>IF(OR($C52="",$D52=""),"",IF(AND(DATE($B$1,1,1)+(54-1)*7&lt;=$D52,DATE($B$1,1,1)+54*7-1&gt;=$C52),1,""))</f>
        <v/>
      </c>
    </row>
    <row r="53">
      <c r="A53" s="6" t="n"/>
      <c r="B53" s="6" t="n"/>
      <c r="C53" s="11" t="n"/>
      <c r="D53" s="11" t="n"/>
      <c r="E53" s="10">
        <f>IF(OR($C53="",$D53=""),"",IF(AND(DATE($B$1,1,1)+(1-1)*7&lt;=$D53,DATE($B$1,1,1)+1*7-1&gt;=$C53),1,""))</f>
        <v/>
      </c>
      <c r="F53" s="10">
        <f>IF(OR($C53="",$D53=""),"",IF(AND(DATE($B$1,1,1)+(2-1)*7&lt;=$D53,DATE($B$1,1,1)+2*7-1&gt;=$C53),1,""))</f>
        <v/>
      </c>
      <c r="G53" s="10">
        <f>IF(OR($C53="",$D53=""),"",IF(AND(DATE($B$1,1,1)+(3-1)*7&lt;=$D53,DATE($B$1,1,1)+3*7-1&gt;=$C53),1,""))</f>
        <v/>
      </c>
      <c r="H53" s="10">
        <f>IF(OR($C53="",$D53=""),"",IF(AND(DATE($B$1,1,1)+(4-1)*7&lt;=$D53,DATE($B$1,1,1)+4*7-1&gt;=$C53),1,""))</f>
        <v/>
      </c>
      <c r="I53" s="10">
        <f>IF(OR($C53="",$D53=""),"",IF(AND(DATE($B$1,1,1)+(5-1)*7&lt;=$D53,DATE($B$1,1,1)+5*7-1&gt;=$C53),1,""))</f>
        <v/>
      </c>
      <c r="J53" s="10">
        <f>IF(OR($C53="",$D53=""),"",IF(AND(DATE($B$1,1,1)+(6-1)*7&lt;=$D53,DATE($B$1,1,1)+6*7-1&gt;=$C53),1,""))</f>
        <v/>
      </c>
      <c r="K53" s="10">
        <f>IF(OR($C53="",$D53=""),"",IF(AND(DATE($B$1,1,1)+(7-1)*7&lt;=$D53,DATE($B$1,1,1)+7*7-1&gt;=$C53),1,""))</f>
        <v/>
      </c>
      <c r="L53" s="10">
        <f>IF(OR($C53="",$D53=""),"",IF(AND(DATE($B$1,1,1)+(8-1)*7&lt;=$D53,DATE($B$1,1,1)+8*7-1&gt;=$C53),1,""))</f>
        <v/>
      </c>
      <c r="M53" s="10">
        <f>IF(OR($C53="",$D53=""),"",IF(AND(DATE($B$1,1,1)+(9-1)*7&lt;=$D53,DATE($B$1,1,1)+9*7-1&gt;=$C53),1,""))</f>
        <v/>
      </c>
      <c r="N53" s="10">
        <f>IF(OR($C53="",$D53=""),"",IF(AND(DATE($B$1,1,1)+(10-1)*7&lt;=$D53,DATE($B$1,1,1)+10*7-1&gt;=$C53),1,""))</f>
        <v/>
      </c>
      <c r="O53" s="10">
        <f>IF(OR($C53="",$D53=""),"",IF(AND(DATE($B$1,1,1)+(11-1)*7&lt;=$D53,DATE($B$1,1,1)+11*7-1&gt;=$C53),1,""))</f>
        <v/>
      </c>
      <c r="P53" s="10">
        <f>IF(OR($C53="",$D53=""),"",IF(AND(DATE($B$1,1,1)+(12-1)*7&lt;=$D53,DATE($B$1,1,1)+12*7-1&gt;=$C53),1,""))</f>
        <v/>
      </c>
      <c r="Q53" s="10">
        <f>IF(OR($C53="",$D53=""),"",IF(AND(DATE($B$1,1,1)+(13-1)*7&lt;=$D53,DATE($B$1,1,1)+13*7-1&gt;=$C53),1,""))</f>
        <v/>
      </c>
      <c r="R53" s="10">
        <f>IF(OR($C53="",$D53=""),"",IF(AND(DATE($B$1,1,1)+(14-1)*7&lt;=$D53,DATE($B$1,1,1)+14*7-1&gt;=$C53),1,""))</f>
        <v/>
      </c>
      <c r="S53" s="10">
        <f>IF(OR($C53="",$D53=""),"",IF(AND(DATE($B$1,1,1)+(15-1)*7&lt;=$D53,DATE($B$1,1,1)+15*7-1&gt;=$C53),1,""))</f>
        <v/>
      </c>
      <c r="T53" s="10">
        <f>IF(OR($C53="",$D53=""),"",IF(AND(DATE($B$1,1,1)+(16-1)*7&lt;=$D53,DATE($B$1,1,1)+16*7-1&gt;=$C53),1,""))</f>
        <v/>
      </c>
      <c r="U53" s="10">
        <f>IF(OR($C53="",$D53=""),"",IF(AND(DATE($B$1,1,1)+(17-1)*7&lt;=$D53,DATE($B$1,1,1)+17*7-1&gt;=$C53),1,""))</f>
        <v/>
      </c>
      <c r="V53" s="10">
        <f>IF(OR($C53="",$D53=""),"",IF(AND(DATE($B$1,1,1)+(18-1)*7&lt;=$D53,DATE($B$1,1,1)+18*7-1&gt;=$C53),1,""))</f>
        <v/>
      </c>
      <c r="W53" s="10">
        <f>IF(OR($C53="",$D53=""),"",IF(AND(DATE($B$1,1,1)+(19-1)*7&lt;=$D53,DATE($B$1,1,1)+19*7-1&gt;=$C53),1,""))</f>
        <v/>
      </c>
      <c r="X53" s="10">
        <f>IF(OR($C53="",$D53=""),"",IF(AND(DATE($B$1,1,1)+(20-1)*7&lt;=$D53,DATE($B$1,1,1)+20*7-1&gt;=$C53),1,""))</f>
        <v/>
      </c>
      <c r="Y53" s="10">
        <f>IF(OR($C53="",$D53=""),"",IF(AND(DATE($B$1,1,1)+(21-1)*7&lt;=$D53,DATE($B$1,1,1)+21*7-1&gt;=$C53),1,""))</f>
        <v/>
      </c>
      <c r="Z53" s="10">
        <f>IF(OR($C53="",$D53=""),"",IF(AND(DATE($B$1,1,1)+(22-1)*7&lt;=$D53,DATE($B$1,1,1)+22*7-1&gt;=$C53),1,""))</f>
        <v/>
      </c>
      <c r="AA53" s="10">
        <f>IF(OR($C53="",$D53=""),"",IF(AND(DATE($B$1,1,1)+(23-1)*7&lt;=$D53,DATE($B$1,1,1)+23*7-1&gt;=$C53),1,""))</f>
        <v/>
      </c>
      <c r="AB53" s="10">
        <f>IF(OR($C53="",$D53=""),"",IF(AND(DATE($B$1,1,1)+(24-1)*7&lt;=$D53,DATE($B$1,1,1)+24*7-1&gt;=$C53),1,""))</f>
        <v/>
      </c>
      <c r="AC53" s="10">
        <f>IF(OR($C53="",$D53=""),"",IF(AND(DATE($B$1,1,1)+(25-1)*7&lt;=$D53,DATE($B$1,1,1)+25*7-1&gt;=$C53),1,""))</f>
        <v/>
      </c>
      <c r="AD53" s="10">
        <f>IF(OR($C53="",$D53=""),"",IF(AND(DATE($B$1,1,1)+(26-1)*7&lt;=$D53,DATE($B$1,1,1)+26*7-1&gt;=$C53),1,""))</f>
        <v/>
      </c>
      <c r="AE53" s="10">
        <f>IF(OR($C53="",$D53=""),"",IF(AND(DATE($B$1,1,1)+(27-1)*7&lt;=$D53,DATE($B$1,1,1)+27*7-1&gt;=$C53),1,""))</f>
        <v/>
      </c>
      <c r="AF53" s="10">
        <f>IF(OR($C53="",$D53=""),"",IF(AND(DATE($B$1,1,1)+(28-1)*7&lt;=$D53,DATE($B$1,1,1)+28*7-1&gt;=$C53),1,""))</f>
        <v/>
      </c>
      <c r="AG53" s="10">
        <f>IF(OR($C53="",$D53=""),"",IF(AND(DATE($B$1,1,1)+(29-1)*7&lt;=$D53,DATE($B$1,1,1)+29*7-1&gt;=$C53),1,""))</f>
        <v/>
      </c>
      <c r="AH53" s="10">
        <f>IF(OR($C53="",$D53=""),"",IF(AND(DATE($B$1,1,1)+(30-1)*7&lt;=$D53,DATE($B$1,1,1)+30*7-1&gt;=$C53),1,""))</f>
        <v/>
      </c>
      <c r="AI53" s="10">
        <f>IF(OR($C53="",$D53=""),"",IF(AND(DATE($B$1,1,1)+(31-1)*7&lt;=$D53,DATE($B$1,1,1)+31*7-1&gt;=$C53),1,""))</f>
        <v/>
      </c>
      <c r="AJ53" s="10">
        <f>IF(OR($C53="",$D53=""),"",IF(AND(DATE($B$1,1,1)+(32-1)*7&lt;=$D53,DATE($B$1,1,1)+32*7-1&gt;=$C53),1,""))</f>
        <v/>
      </c>
      <c r="AK53" s="10">
        <f>IF(OR($C53="",$D53=""),"",IF(AND(DATE($B$1,1,1)+(33-1)*7&lt;=$D53,DATE($B$1,1,1)+33*7-1&gt;=$C53),1,""))</f>
        <v/>
      </c>
      <c r="AL53" s="10">
        <f>IF(OR($C53="",$D53=""),"",IF(AND(DATE($B$1,1,1)+(34-1)*7&lt;=$D53,DATE($B$1,1,1)+34*7-1&gt;=$C53),1,""))</f>
        <v/>
      </c>
      <c r="AM53" s="10">
        <f>IF(OR($C53="",$D53=""),"",IF(AND(DATE($B$1,1,1)+(35-1)*7&lt;=$D53,DATE($B$1,1,1)+35*7-1&gt;=$C53),1,""))</f>
        <v/>
      </c>
      <c r="AN53" s="10">
        <f>IF(OR($C53="",$D53=""),"",IF(AND(DATE($B$1,1,1)+(36-1)*7&lt;=$D53,DATE($B$1,1,1)+36*7-1&gt;=$C53),1,""))</f>
        <v/>
      </c>
      <c r="AO53" s="10">
        <f>IF(OR($C53="",$D53=""),"",IF(AND(DATE($B$1,1,1)+(37-1)*7&lt;=$D53,DATE($B$1,1,1)+37*7-1&gt;=$C53),1,""))</f>
        <v/>
      </c>
      <c r="AP53" s="10">
        <f>IF(OR($C53="",$D53=""),"",IF(AND(DATE($B$1,1,1)+(38-1)*7&lt;=$D53,DATE($B$1,1,1)+38*7-1&gt;=$C53),1,""))</f>
        <v/>
      </c>
      <c r="AQ53" s="10">
        <f>IF(OR($C53="",$D53=""),"",IF(AND(DATE($B$1,1,1)+(39-1)*7&lt;=$D53,DATE($B$1,1,1)+39*7-1&gt;=$C53),1,""))</f>
        <v/>
      </c>
      <c r="AR53" s="10">
        <f>IF(OR($C53="",$D53=""),"",IF(AND(DATE($B$1,1,1)+(40-1)*7&lt;=$D53,DATE($B$1,1,1)+40*7-1&gt;=$C53),1,""))</f>
        <v/>
      </c>
      <c r="AS53" s="10">
        <f>IF(OR($C53="",$D53=""),"",IF(AND(DATE($B$1,1,1)+(41-1)*7&lt;=$D53,DATE($B$1,1,1)+41*7-1&gt;=$C53),1,""))</f>
        <v/>
      </c>
      <c r="AT53" s="10">
        <f>IF(OR($C53="",$D53=""),"",IF(AND(DATE($B$1,1,1)+(42-1)*7&lt;=$D53,DATE($B$1,1,1)+42*7-1&gt;=$C53),1,""))</f>
        <v/>
      </c>
      <c r="AU53" s="10">
        <f>IF(OR($C53="",$D53=""),"",IF(AND(DATE($B$1,1,1)+(43-1)*7&lt;=$D53,DATE($B$1,1,1)+43*7-1&gt;=$C53),1,""))</f>
        <v/>
      </c>
      <c r="AV53" s="10">
        <f>IF(OR($C53="",$D53=""),"",IF(AND(DATE($B$1,1,1)+(44-1)*7&lt;=$D53,DATE($B$1,1,1)+44*7-1&gt;=$C53),1,""))</f>
        <v/>
      </c>
      <c r="AW53" s="10">
        <f>IF(OR($C53="",$D53=""),"",IF(AND(DATE($B$1,1,1)+(45-1)*7&lt;=$D53,DATE($B$1,1,1)+45*7-1&gt;=$C53),1,""))</f>
        <v/>
      </c>
      <c r="AX53" s="10">
        <f>IF(OR($C53="",$D53=""),"",IF(AND(DATE($B$1,1,1)+(46-1)*7&lt;=$D53,DATE($B$1,1,1)+46*7-1&gt;=$C53),1,""))</f>
        <v/>
      </c>
      <c r="AY53" s="10">
        <f>IF(OR($C53="",$D53=""),"",IF(AND(DATE($B$1,1,1)+(47-1)*7&lt;=$D53,DATE($B$1,1,1)+47*7-1&gt;=$C53),1,""))</f>
        <v/>
      </c>
      <c r="AZ53" s="10">
        <f>IF(OR($C53="",$D53=""),"",IF(AND(DATE($B$1,1,1)+(48-1)*7&lt;=$D53,DATE($B$1,1,1)+48*7-1&gt;=$C53),1,""))</f>
        <v/>
      </c>
      <c r="BA53" s="10">
        <f>IF(OR($C53="",$D53=""),"",IF(AND(DATE($B$1,1,1)+(49-1)*7&lt;=$D53,DATE($B$1,1,1)+49*7-1&gt;=$C53),1,""))</f>
        <v/>
      </c>
      <c r="BB53" s="10">
        <f>IF(OR($C53="",$D53=""),"",IF(AND(DATE($B$1,1,1)+(50-1)*7&lt;=$D53,DATE($B$1,1,1)+50*7-1&gt;=$C53),1,""))</f>
        <v/>
      </c>
      <c r="BC53" s="10">
        <f>IF(OR($C53="",$D53=""),"",IF(AND(DATE($B$1,1,1)+(51-1)*7&lt;=$D53,DATE($B$1,1,1)+51*7-1&gt;=$C53),1,""))</f>
        <v/>
      </c>
      <c r="BD53" s="10">
        <f>IF(OR($C53="",$D53=""),"",IF(AND(DATE($B$1,1,1)+(52-1)*7&lt;=$D53,DATE($B$1,1,1)+52*7-1&gt;=$C53),1,""))</f>
        <v/>
      </c>
      <c r="BE53" s="10">
        <f>IF(OR($C53="",$D53=""),"",IF(AND(DATE($B$1,1,1)+(53-1)*7&lt;=$D53,DATE($B$1,1,1)+53*7-1&gt;=$C53),1,""))</f>
        <v/>
      </c>
      <c r="BF53" s="10">
        <f>IF(OR($C53="",$D53=""),"",IF(AND(DATE($B$1,1,1)+(54-1)*7&lt;=$D53,DATE($B$1,1,1)+54*7-1&gt;=$C53),1,""))</f>
        <v/>
      </c>
    </row>
    <row r="54">
      <c r="A54" s="6" t="n"/>
      <c r="B54" s="6" t="n"/>
      <c r="C54" s="11" t="n"/>
      <c r="D54" s="11" t="n"/>
      <c r="E54" s="10">
        <f>IF(OR($C54="",$D54=""),"",IF(AND(DATE($B$1,1,1)+(1-1)*7&lt;=$D54,DATE($B$1,1,1)+1*7-1&gt;=$C54),1,""))</f>
        <v/>
      </c>
      <c r="F54" s="10">
        <f>IF(OR($C54="",$D54=""),"",IF(AND(DATE($B$1,1,1)+(2-1)*7&lt;=$D54,DATE($B$1,1,1)+2*7-1&gt;=$C54),1,""))</f>
        <v/>
      </c>
      <c r="G54" s="10">
        <f>IF(OR($C54="",$D54=""),"",IF(AND(DATE($B$1,1,1)+(3-1)*7&lt;=$D54,DATE($B$1,1,1)+3*7-1&gt;=$C54),1,""))</f>
        <v/>
      </c>
      <c r="H54" s="10">
        <f>IF(OR($C54="",$D54=""),"",IF(AND(DATE($B$1,1,1)+(4-1)*7&lt;=$D54,DATE($B$1,1,1)+4*7-1&gt;=$C54),1,""))</f>
        <v/>
      </c>
      <c r="I54" s="10">
        <f>IF(OR($C54="",$D54=""),"",IF(AND(DATE($B$1,1,1)+(5-1)*7&lt;=$D54,DATE($B$1,1,1)+5*7-1&gt;=$C54),1,""))</f>
        <v/>
      </c>
      <c r="J54" s="10">
        <f>IF(OR($C54="",$D54=""),"",IF(AND(DATE($B$1,1,1)+(6-1)*7&lt;=$D54,DATE($B$1,1,1)+6*7-1&gt;=$C54),1,""))</f>
        <v/>
      </c>
      <c r="K54" s="10">
        <f>IF(OR($C54="",$D54=""),"",IF(AND(DATE($B$1,1,1)+(7-1)*7&lt;=$D54,DATE($B$1,1,1)+7*7-1&gt;=$C54),1,""))</f>
        <v/>
      </c>
      <c r="L54" s="10">
        <f>IF(OR($C54="",$D54=""),"",IF(AND(DATE($B$1,1,1)+(8-1)*7&lt;=$D54,DATE($B$1,1,1)+8*7-1&gt;=$C54),1,""))</f>
        <v/>
      </c>
      <c r="M54" s="10">
        <f>IF(OR($C54="",$D54=""),"",IF(AND(DATE($B$1,1,1)+(9-1)*7&lt;=$D54,DATE($B$1,1,1)+9*7-1&gt;=$C54),1,""))</f>
        <v/>
      </c>
      <c r="N54" s="10">
        <f>IF(OR($C54="",$D54=""),"",IF(AND(DATE($B$1,1,1)+(10-1)*7&lt;=$D54,DATE($B$1,1,1)+10*7-1&gt;=$C54),1,""))</f>
        <v/>
      </c>
      <c r="O54" s="10">
        <f>IF(OR($C54="",$D54=""),"",IF(AND(DATE($B$1,1,1)+(11-1)*7&lt;=$D54,DATE($B$1,1,1)+11*7-1&gt;=$C54),1,""))</f>
        <v/>
      </c>
      <c r="P54" s="10">
        <f>IF(OR($C54="",$D54=""),"",IF(AND(DATE($B$1,1,1)+(12-1)*7&lt;=$D54,DATE($B$1,1,1)+12*7-1&gt;=$C54),1,""))</f>
        <v/>
      </c>
      <c r="Q54" s="10">
        <f>IF(OR($C54="",$D54=""),"",IF(AND(DATE($B$1,1,1)+(13-1)*7&lt;=$D54,DATE($B$1,1,1)+13*7-1&gt;=$C54),1,""))</f>
        <v/>
      </c>
      <c r="R54" s="10">
        <f>IF(OR($C54="",$D54=""),"",IF(AND(DATE($B$1,1,1)+(14-1)*7&lt;=$D54,DATE($B$1,1,1)+14*7-1&gt;=$C54),1,""))</f>
        <v/>
      </c>
      <c r="S54" s="10">
        <f>IF(OR($C54="",$D54=""),"",IF(AND(DATE($B$1,1,1)+(15-1)*7&lt;=$D54,DATE($B$1,1,1)+15*7-1&gt;=$C54),1,""))</f>
        <v/>
      </c>
      <c r="T54" s="10">
        <f>IF(OR($C54="",$D54=""),"",IF(AND(DATE($B$1,1,1)+(16-1)*7&lt;=$D54,DATE($B$1,1,1)+16*7-1&gt;=$C54),1,""))</f>
        <v/>
      </c>
      <c r="U54" s="10">
        <f>IF(OR($C54="",$D54=""),"",IF(AND(DATE($B$1,1,1)+(17-1)*7&lt;=$D54,DATE($B$1,1,1)+17*7-1&gt;=$C54),1,""))</f>
        <v/>
      </c>
      <c r="V54" s="10">
        <f>IF(OR($C54="",$D54=""),"",IF(AND(DATE($B$1,1,1)+(18-1)*7&lt;=$D54,DATE($B$1,1,1)+18*7-1&gt;=$C54),1,""))</f>
        <v/>
      </c>
      <c r="W54" s="10">
        <f>IF(OR($C54="",$D54=""),"",IF(AND(DATE($B$1,1,1)+(19-1)*7&lt;=$D54,DATE($B$1,1,1)+19*7-1&gt;=$C54),1,""))</f>
        <v/>
      </c>
      <c r="X54" s="10">
        <f>IF(OR($C54="",$D54=""),"",IF(AND(DATE($B$1,1,1)+(20-1)*7&lt;=$D54,DATE($B$1,1,1)+20*7-1&gt;=$C54),1,""))</f>
        <v/>
      </c>
      <c r="Y54" s="10">
        <f>IF(OR($C54="",$D54=""),"",IF(AND(DATE($B$1,1,1)+(21-1)*7&lt;=$D54,DATE($B$1,1,1)+21*7-1&gt;=$C54),1,""))</f>
        <v/>
      </c>
      <c r="Z54" s="10">
        <f>IF(OR($C54="",$D54=""),"",IF(AND(DATE($B$1,1,1)+(22-1)*7&lt;=$D54,DATE($B$1,1,1)+22*7-1&gt;=$C54),1,""))</f>
        <v/>
      </c>
      <c r="AA54" s="10">
        <f>IF(OR($C54="",$D54=""),"",IF(AND(DATE($B$1,1,1)+(23-1)*7&lt;=$D54,DATE($B$1,1,1)+23*7-1&gt;=$C54),1,""))</f>
        <v/>
      </c>
      <c r="AB54" s="10">
        <f>IF(OR($C54="",$D54=""),"",IF(AND(DATE($B$1,1,1)+(24-1)*7&lt;=$D54,DATE($B$1,1,1)+24*7-1&gt;=$C54),1,""))</f>
        <v/>
      </c>
      <c r="AC54" s="10">
        <f>IF(OR($C54="",$D54=""),"",IF(AND(DATE($B$1,1,1)+(25-1)*7&lt;=$D54,DATE($B$1,1,1)+25*7-1&gt;=$C54),1,""))</f>
        <v/>
      </c>
      <c r="AD54" s="10">
        <f>IF(OR($C54="",$D54=""),"",IF(AND(DATE($B$1,1,1)+(26-1)*7&lt;=$D54,DATE($B$1,1,1)+26*7-1&gt;=$C54),1,""))</f>
        <v/>
      </c>
      <c r="AE54" s="10">
        <f>IF(OR($C54="",$D54=""),"",IF(AND(DATE($B$1,1,1)+(27-1)*7&lt;=$D54,DATE($B$1,1,1)+27*7-1&gt;=$C54),1,""))</f>
        <v/>
      </c>
      <c r="AF54" s="10">
        <f>IF(OR($C54="",$D54=""),"",IF(AND(DATE($B$1,1,1)+(28-1)*7&lt;=$D54,DATE($B$1,1,1)+28*7-1&gt;=$C54),1,""))</f>
        <v/>
      </c>
      <c r="AG54" s="10">
        <f>IF(OR($C54="",$D54=""),"",IF(AND(DATE($B$1,1,1)+(29-1)*7&lt;=$D54,DATE($B$1,1,1)+29*7-1&gt;=$C54),1,""))</f>
        <v/>
      </c>
      <c r="AH54" s="10">
        <f>IF(OR($C54="",$D54=""),"",IF(AND(DATE($B$1,1,1)+(30-1)*7&lt;=$D54,DATE($B$1,1,1)+30*7-1&gt;=$C54),1,""))</f>
        <v/>
      </c>
      <c r="AI54" s="10">
        <f>IF(OR($C54="",$D54=""),"",IF(AND(DATE($B$1,1,1)+(31-1)*7&lt;=$D54,DATE($B$1,1,1)+31*7-1&gt;=$C54),1,""))</f>
        <v/>
      </c>
      <c r="AJ54" s="10">
        <f>IF(OR($C54="",$D54=""),"",IF(AND(DATE($B$1,1,1)+(32-1)*7&lt;=$D54,DATE($B$1,1,1)+32*7-1&gt;=$C54),1,""))</f>
        <v/>
      </c>
      <c r="AK54" s="10">
        <f>IF(OR($C54="",$D54=""),"",IF(AND(DATE($B$1,1,1)+(33-1)*7&lt;=$D54,DATE($B$1,1,1)+33*7-1&gt;=$C54),1,""))</f>
        <v/>
      </c>
      <c r="AL54" s="10">
        <f>IF(OR($C54="",$D54=""),"",IF(AND(DATE($B$1,1,1)+(34-1)*7&lt;=$D54,DATE($B$1,1,1)+34*7-1&gt;=$C54),1,""))</f>
        <v/>
      </c>
      <c r="AM54" s="10">
        <f>IF(OR($C54="",$D54=""),"",IF(AND(DATE($B$1,1,1)+(35-1)*7&lt;=$D54,DATE($B$1,1,1)+35*7-1&gt;=$C54),1,""))</f>
        <v/>
      </c>
      <c r="AN54" s="10">
        <f>IF(OR($C54="",$D54=""),"",IF(AND(DATE($B$1,1,1)+(36-1)*7&lt;=$D54,DATE($B$1,1,1)+36*7-1&gt;=$C54),1,""))</f>
        <v/>
      </c>
      <c r="AO54" s="10">
        <f>IF(OR($C54="",$D54=""),"",IF(AND(DATE($B$1,1,1)+(37-1)*7&lt;=$D54,DATE($B$1,1,1)+37*7-1&gt;=$C54),1,""))</f>
        <v/>
      </c>
      <c r="AP54" s="10">
        <f>IF(OR($C54="",$D54=""),"",IF(AND(DATE($B$1,1,1)+(38-1)*7&lt;=$D54,DATE($B$1,1,1)+38*7-1&gt;=$C54),1,""))</f>
        <v/>
      </c>
      <c r="AQ54" s="10">
        <f>IF(OR($C54="",$D54=""),"",IF(AND(DATE($B$1,1,1)+(39-1)*7&lt;=$D54,DATE($B$1,1,1)+39*7-1&gt;=$C54),1,""))</f>
        <v/>
      </c>
      <c r="AR54" s="10">
        <f>IF(OR($C54="",$D54=""),"",IF(AND(DATE($B$1,1,1)+(40-1)*7&lt;=$D54,DATE($B$1,1,1)+40*7-1&gt;=$C54),1,""))</f>
        <v/>
      </c>
      <c r="AS54" s="10">
        <f>IF(OR($C54="",$D54=""),"",IF(AND(DATE($B$1,1,1)+(41-1)*7&lt;=$D54,DATE($B$1,1,1)+41*7-1&gt;=$C54),1,""))</f>
        <v/>
      </c>
      <c r="AT54" s="10">
        <f>IF(OR($C54="",$D54=""),"",IF(AND(DATE($B$1,1,1)+(42-1)*7&lt;=$D54,DATE($B$1,1,1)+42*7-1&gt;=$C54),1,""))</f>
        <v/>
      </c>
      <c r="AU54" s="10">
        <f>IF(OR($C54="",$D54=""),"",IF(AND(DATE($B$1,1,1)+(43-1)*7&lt;=$D54,DATE($B$1,1,1)+43*7-1&gt;=$C54),1,""))</f>
        <v/>
      </c>
      <c r="AV54" s="10">
        <f>IF(OR($C54="",$D54=""),"",IF(AND(DATE($B$1,1,1)+(44-1)*7&lt;=$D54,DATE($B$1,1,1)+44*7-1&gt;=$C54),1,""))</f>
        <v/>
      </c>
      <c r="AW54" s="10">
        <f>IF(OR($C54="",$D54=""),"",IF(AND(DATE($B$1,1,1)+(45-1)*7&lt;=$D54,DATE($B$1,1,1)+45*7-1&gt;=$C54),1,""))</f>
        <v/>
      </c>
      <c r="AX54" s="10">
        <f>IF(OR($C54="",$D54=""),"",IF(AND(DATE($B$1,1,1)+(46-1)*7&lt;=$D54,DATE($B$1,1,1)+46*7-1&gt;=$C54),1,""))</f>
        <v/>
      </c>
      <c r="AY54" s="10">
        <f>IF(OR($C54="",$D54=""),"",IF(AND(DATE($B$1,1,1)+(47-1)*7&lt;=$D54,DATE($B$1,1,1)+47*7-1&gt;=$C54),1,""))</f>
        <v/>
      </c>
      <c r="AZ54" s="10">
        <f>IF(OR($C54="",$D54=""),"",IF(AND(DATE($B$1,1,1)+(48-1)*7&lt;=$D54,DATE($B$1,1,1)+48*7-1&gt;=$C54),1,""))</f>
        <v/>
      </c>
      <c r="BA54" s="10">
        <f>IF(OR($C54="",$D54=""),"",IF(AND(DATE($B$1,1,1)+(49-1)*7&lt;=$D54,DATE($B$1,1,1)+49*7-1&gt;=$C54),1,""))</f>
        <v/>
      </c>
      <c r="BB54" s="10">
        <f>IF(OR($C54="",$D54=""),"",IF(AND(DATE($B$1,1,1)+(50-1)*7&lt;=$D54,DATE($B$1,1,1)+50*7-1&gt;=$C54),1,""))</f>
        <v/>
      </c>
      <c r="BC54" s="10">
        <f>IF(OR($C54="",$D54=""),"",IF(AND(DATE($B$1,1,1)+(51-1)*7&lt;=$D54,DATE($B$1,1,1)+51*7-1&gt;=$C54),1,""))</f>
        <v/>
      </c>
      <c r="BD54" s="10">
        <f>IF(OR($C54="",$D54=""),"",IF(AND(DATE($B$1,1,1)+(52-1)*7&lt;=$D54,DATE($B$1,1,1)+52*7-1&gt;=$C54),1,""))</f>
        <v/>
      </c>
      <c r="BE54" s="10">
        <f>IF(OR($C54="",$D54=""),"",IF(AND(DATE($B$1,1,1)+(53-1)*7&lt;=$D54,DATE($B$1,1,1)+53*7-1&gt;=$C54),1,""))</f>
        <v/>
      </c>
      <c r="BF54" s="10">
        <f>IF(OR($C54="",$D54=""),"",IF(AND(DATE($B$1,1,1)+(54-1)*7&lt;=$D54,DATE($B$1,1,1)+54*7-1&gt;=$C54),1,""))</f>
        <v/>
      </c>
    </row>
    <row r="55">
      <c r="A55" s="6" t="n"/>
      <c r="B55" s="6" t="n"/>
      <c r="C55" s="11" t="n"/>
      <c r="D55" s="11" t="n"/>
      <c r="E55" s="10">
        <f>IF(OR($C55="",$D55=""),"",IF(AND(DATE($B$1,1,1)+(1-1)*7&lt;=$D55,DATE($B$1,1,1)+1*7-1&gt;=$C55),1,""))</f>
        <v/>
      </c>
      <c r="F55" s="10">
        <f>IF(OR($C55="",$D55=""),"",IF(AND(DATE($B$1,1,1)+(2-1)*7&lt;=$D55,DATE($B$1,1,1)+2*7-1&gt;=$C55),1,""))</f>
        <v/>
      </c>
      <c r="G55" s="10">
        <f>IF(OR($C55="",$D55=""),"",IF(AND(DATE($B$1,1,1)+(3-1)*7&lt;=$D55,DATE($B$1,1,1)+3*7-1&gt;=$C55),1,""))</f>
        <v/>
      </c>
      <c r="H55" s="10">
        <f>IF(OR($C55="",$D55=""),"",IF(AND(DATE($B$1,1,1)+(4-1)*7&lt;=$D55,DATE($B$1,1,1)+4*7-1&gt;=$C55),1,""))</f>
        <v/>
      </c>
      <c r="I55" s="10">
        <f>IF(OR($C55="",$D55=""),"",IF(AND(DATE($B$1,1,1)+(5-1)*7&lt;=$D55,DATE($B$1,1,1)+5*7-1&gt;=$C55),1,""))</f>
        <v/>
      </c>
      <c r="J55" s="10">
        <f>IF(OR($C55="",$D55=""),"",IF(AND(DATE($B$1,1,1)+(6-1)*7&lt;=$D55,DATE($B$1,1,1)+6*7-1&gt;=$C55),1,""))</f>
        <v/>
      </c>
      <c r="K55" s="10">
        <f>IF(OR($C55="",$D55=""),"",IF(AND(DATE($B$1,1,1)+(7-1)*7&lt;=$D55,DATE($B$1,1,1)+7*7-1&gt;=$C55),1,""))</f>
        <v/>
      </c>
      <c r="L55" s="10">
        <f>IF(OR($C55="",$D55=""),"",IF(AND(DATE($B$1,1,1)+(8-1)*7&lt;=$D55,DATE($B$1,1,1)+8*7-1&gt;=$C55),1,""))</f>
        <v/>
      </c>
      <c r="M55" s="10">
        <f>IF(OR($C55="",$D55=""),"",IF(AND(DATE($B$1,1,1)+(9-1)*7&lt;=$D55,DATE($B$1,1,1)+9*7-1&gt;=$C55),1,""))</f>
        <v/>
      </c>
      <c r="N55" s="10">
        <f>IF(OR($C55="",$D55=""),"",IF(AND(DATE($B$1,1,1)+(10-1)*7&lt;=$D55,DATE($B$1,1,1)+10*7-1&gt;=$C55),1,""))</f>
        <v/>
      </c>
      <c r="O55" s="10">
        <f>IF(OR($C55="",$D55=""),"",IF(AND(DATE($B$1,1,1)+(11-1)*7&lt;=$D55,DATE($B$1,1,1)+11*7-1&gt;=$C55),1,""))</f>
        <v/>
      </c>
      <c r="P55" s="10">
        <f>IF(OR($C55="",$D55=""),"",IF(AND(DATE($B$1,1,1)+(12-1)*7&lt;=$D55,DATE($B$1,1,1)+12*7-1&gt;=$C55),1,""))</f>
        <v/>
      </c>
      <c r="Q55" s="10">
        <f>IF(OR($C55="",$D55=""),"",IF(AND(DATE($B$1,1,1)+(13-1)*7&lt;=$D55,DATE($B$1,1,1)+13*7-1&gt;=$C55),1,""))</f>
        <v/>
      </c>
      <c r="R55" s="10">
        <f>IF(OR($C55="",$D55=""),"",IF(AND(DATE($B$1,1,1)+(14-1)*7&lt;=$D55,DATE($B$1,1,1)+14*7-1&gt;=$C55),1,""))</f>
        <v/>
      </c>
      <c r="S55" s="10">
        <f>IF(OR($C55="",$D55=""),"",IF(AND(DATE($B$1,1,1)+(15-1)*7&lt;=$D55,DATE($B$1,1,1)+15*7-1&gt;=$C55),1,""))</f>
        <v/>
      </c>
      <c r="T55" s="10">
        <f>IF(OR($C55="",$D55=""),"",IF(AND(DATE($B$1,1,1)+(16-1)*7&lt;=$D55,DATE($B$1,1,1)+16*7-1&gt;=$C55),1,""))</f>
        <v/>
      </c>
      <c r="U55" s="10">
        <f>IF(OR($C55="",$D55=""),"",IF(AND(DATE($B$1,1,1)+(17-1)*7&lt;=$D55,DATE($B$1,1,1)+17*7-1&gt;=$C55),1,""))</f>
        <v/>
      </c>
      <c r="V55" s="10">
        <f>IF(OR($C55="",$D55=""),"",IF(AND(DATE($B$1,1,1)+(18-1)*7&lt;=$D55,DATE($B$1,1,1)+18*7-1&gt;=$C55),1,""))</f>
        <v/>
      </c>
      <c r="W55" s="10">
        <f>IF(OR($C55="",$D55=""),"",IF(AND(DATE($B$1,1,1)+(19-1)*7&lt;=$D55,DATE($B$1,1,1)+19*7-1&gt;=$C55),1,""))</f>
        <v/>
      </c>
      <c r="X55" s="10">
        <f>IF(OR($C55="",$D55=""),"",IF(AND(DATE($B$1,1,1)+(20-1)*7&lt;=$D55,DATE($B$1,1,1)+20*7-1&gt;=$C55),1,""))</f>
        <v/>
      </c>
      <c r="Y55" s="10">
        <f>IF(OR($C55="",$D55=""),"",IF(AND(DATE($B$1,1,1)+(21-1)*7&lt;=$D55,DATE($B$1,1,1)+21*7-1&gt;=$C55),1,""))</f>
        <v/>
      </c>
      <c r="Z55" s="10">
        <f>IF(OR($C55="",$D55=""),"",IF(AND(DATE($B$1,1,1)+(22-1)*7&lt;=$D55,DATE($B$1,1,1)+22*7-1&gt;=$C55),1,""))</f>
        <v/>
      </c>
      <c r="AA55" s="10">
        <f>IF(OR($C55="",$D55=""),"",IF(AND(DATE($B$1,1,1)+(23-1)*7&lt;=$D55,DATE($B$1,1,1)+23*7-1&gt;=$C55),1,""))</f>
        <v/>
      </c>
      <c r="AB55" s="10">
        <f>IF(OR($C55="",$D55=""),"",IF(AND(DATE($B$1,1,1)+(24-1)*7&lt;=$D55,DATE($B$1,1,1)+24*7-1&gt;=$C55),1,""))</f>
        <v/>
      </c>
      <c r="AC55" s="10">
        <f>IF(OR($C55="",$D55=""),"",IF(AND(DATE($B$1,1,1)+(25-1)*7&lt;=$D55,DATE($B$1,1,1)+25*7-1&gt;=$C55),1,""))</f>
        <v/>
      </c>
      <c r="AD55" s="10">
        <f>IF(OR($C55="",$D55=""),"",IF(AND(DATE($B$1,1,1)+(26-1)*7&lt;=$D55,DATE($B$1,1,1)+26*7-1&gt;=$C55),1,""))</f>
        <v/>
      </c>
      <c r="AE55" s="10">
        <f>IF(OR($C55="",$D55=""),"",IF(AND(DATE($B$1,1,1)+(27-1)*7&lt;=$D55,DATE($B$1,1,1)+27*7-1&gt;=$C55),1,""))</f>
        <v/>
      </c>
      <c r="AF55" s="10">
        <f>IF(OR($C55="",$D55=""),"",IF(AND(DATE($B$1,1,1)+(28-1)*7&lt;=$D55,DATE($B$1,1,1)+28*7-1&gt;=$C55),1,""))</f>
        <v/>
      </c>
      <c r="AG55" s="10">
        <f>IF(OR($C55="",$D55=""),"",IF(AND(DATE($B$1,1,1)+(29-1)*7&lt;=$D55,DATE($B$1,1,1)+29*7-1&gt;=$C55),1,""))</f>
        <v/>
      </c>
      <c r="AH55" s="10">
        <f>IF(OR($C55="",$D55=""),"",IF(AND(DATE($B$1,1,1)+(30-1)*7&lt;=$D55,DATE($B$1,1,1)+30*7-1&gt;=$C55),1,""))</f>
        <v/>
      </c>
      <c r="AI55" s="10">
        <f>IF(OR($C55="",$D55=""),"",IF(AND(DATE($B$1,1,1)+(31-1)*7&lt;=$D55,DATE($B$1,1,1)+31*7-1&gt;=$C55),1,""))</f>
        <v/>
      </c>
      <c r="AJ55" s="10">
        <f>IF(OR($C55="",$D55=""),"",IF(AND(DATE($B$1,1,1)+(32-1)*7&lt;=$D55,DATE($B$1,1,1)+32*7-1&gt;=$C55),1,""))</f>
        <v/>
      </c>
      <c r="AK55" s="10">
        <f>IF(OR($C55="",$D55=""),"",IF(AND(DATE($B$1,1,1)+(33-1)*7&lt;=$D55,DATE($B$1,1,1)+33*7-1&gt;=$C55),1,""))</f>
        <v/>
      </c>
      <c r="AL55" s="10">
        <f>IF(OR($C55="",$D55=""),"",IF(AND(DATE($B$1,1,1)+(34-1)*7&lt;=$D55,DATE($B$1,1,1)+34*7-1&gt;=$C55),1,""))</f>
        <v/>
      </c>
      <c r="AM55" s="10">
        <f>IF(OR($C55="",$D55=""),"",IF(AND(DATE($B$1,1,1)+(35-1)*7&lt;=$D55,DATE($B$1,1,1)+35*7-1&gt;=$C55),1,""))</f>
        <v/>
      </c>
      <c r="AN55" s="10">
        <f>IF(OR($C55="",$D55=""),"",IF(AND(DATE($B$1,1,1)+(36-1)*7&lt;=$D55,DATE($B$1,1,1)+36*7-1&gt;=$C55),1,""))</f>
        <v/>
      </c>
      <c r="AO55" s="10">
        <f>IF(OR($C55="",$D55=""),"",IF(AND(DATE($B$1,1,1)+(37-1)*7&lt;=$D55,DATE($B$1,1,1)+37*7-1&gt;=$C55),1,""))</f>
        <v/>
      </c>
      <c r="AP55" s="10">
        <f>IF(OR($C55="",$D55=""),"",IF(AND(DATE($B$1,1,1)+(38-1)*7&lt;=$D55,DATE($B$1,1,1)+38*7-1&gt;=$C55),1,""))</f>
        <v/>
      </c>
      <c r="AQ55" s="10">
        <f>IF(OR($C55="",$D55=""),"",IF(AND(DATE($B$1,1,1)+(39-1)*7&lt;=$D55,DATE($B$1,1,1)+39*7-1&gt;=$C55),1,""))</f>
        <v/>
      </c>
      <c r="AR55" s="10">
        <f>IF(OR($C55="",$D55=""),"",IF(AND(DATE($B$1,1,1)+(40-1)*7&lt;=$D55,DATE($B$1,1,1)+40*7-1&gt;=$C55),1,""))</f>
        <v/>
      </c>
      <c r="AS55" s="10">
        <f>IF(OR($C55="",$D55=""),"",IF(AND(DATE($B$1,1,1)+(41-1)*7&lt;=$D55,DATE($B$1,1,1)+41*7-1&gt;=$C55),1,""))</f>
        <v/>
      </c>
      <c r="AT55" s="10">
        <f>IF(OR($C55="",$D55=""),"",IF(AND(DATE($B$1,1,1)+(42-1)*7&lt;=$D55,DATE($B$1,1,1)+42*7-1&gt;=$C55),1,""))</f>
        <v/>
      </c>
      <c r="AU55" s="10">
        <f>IF(OR($C55="",$D55=""),"",IF(AND(DATE($B$1,1,1)+(43-1)*7&lt;=$D55,DATE($B$1,1,1)+43*7-1&gt;=$C55),1,""))</f>
        <v/>
      </c>
      <c r="AV55" s="10">
        <f>IF(OR($C55="",$D55=""),"",IF(AND(DATE($B$1,1,1)+(44-1)*7&lt;=$D55,DATE($B$1,1,1)+44*7-1&gt;=$C55),1,""))</f>
        <v/>
      </c>
      <c r="AW55" s="10">
        <f>IF(OR($C55="",$D55=""),"",IF(AND(DATE($B$1,1,1)+(45-1)*7&lt;=$D55,DATE($B$1,1,1)+45*7-1&gt;=$C55),1,""))</f>
        <v/>
      </c>
      <c r="AX55" s="10">
        <f>IF(OR($C55="",$D55=""),"",IF(AND(DATE($B$1,1,1)+(46-1)*7&lt;=$D55,DATE($B$1,1,1)+46*7-1&gt;=$C55),1,""))</f>
        <v/>
      </c>
      <c r="AY55" s="10">
        <f>IF(OR($C55="",$D55=""),"",IF(AND(DATE($B$1,1,1)+(47-1)*7&lt;=$D55,DATE($B$1,1,1)+47*7-1&gt;=$C55),1,""))</f>
        <v/>
      </c>
      <c r="AZ55" s="10">
        <f>IF(OR($C55="",$D55=""),"",IF(AND(DATE($B$1,1,1)+(48-1)*7&lt;=$D55,DATE($B$1,1,1)+48*7-1&gt;=$C55),1,""))</f>
        <v/>
      </c>
      <c r="BA55" s="10">
        <f>IF(OR($C55="",$D55=""),"",IF(AND(DATE($B$1,1,1)+(49-1)*7&lt;=$D55,DATE($B$1,1,1)+49*7-1&gt;=$C55),1,""))</f>
        <v/>
      </c>
      <c r="BB55" s="10">
        <f>IF(OR($C55="",$D55=""),"",IF(AND(DATE($B$1,1,1)+(50-1)*7&lt;=$D55,DATE($B$1,1,1)+50*7-1&gt;=$C55),1,""))</f>
        <v/>
      </c>
      <c r="BC55" s="10">
        <f>IF(OR($C55="",$D55=""),"",IF(AND(DATE($B$1,1,1)+(51-1)*7&lt;=$D55,DATE($B$1,1,1)+51*7-1&gt;=$C55),1,""))</f>
        <v/>
      </c>
      <c r="BD55" s="10">
        <f>IF(OR($C55="",$D55=""),"",IF(AND(DATE($B$1,1,1)+(52-1)*7&lt;=$D55,DATE($B$1,1,1)+52*7-1&gt;=$C55),1,""))</f>
        <v/>
      </c>
      <c r="BE55" s="10">
        <f>IF(OR($C55="",$D55=""),"",IF(AND(DATE($B$1,1,1)+(53-1)*7&lt;=$D55,DATE($B$1,1,1)+53*7-1&gt;=$C55),1,""))</f>
        <v/>
      </c>
      <c r="BF55" s="10">
        <f>IF(OR($C55="",$D55=""),"",IF(AND(DATE($B$1,1,1)+(54-1)*7&lt;=$D55,DATE($B$1,1,1)+54*7-1&gt;=$C55),1,""))</f>
        <v/>
      </c>
    </row>
    <row r="56">
      <c r="A56" s="6" t="n"/>
      <c r="B56" s="6" t="n"/>
      <c r="C56" s="11" t="n"/>
      <c r="D56" s="11" t="n"/>
      <c r="E56" s="10">
        <f>IF(OR($C56="",$D56=""),"",IF(AND(DATE($B$1,1,1)+(1-1)*7&lt;=$D56,DATE($B$1,1,1)+1*7-1&gt;=$C56),1,""))</f>
        <v/>
      </c>
      <c r="F56" s="10">
        <f>IF(OR($C56="",$D56=""),"",IF(AND(DATE($B$1,1,1)+(2-1)*7&lt;=$D56,DATE($B$1,1,1)+2*7-1&gt;=$C56),1,""))</f>
        <v/>
      </c>
      <c r="G56" s="10">
        <f>IF(OR($C56="",$D56=""),"",IF(AND(DATE($B$1,1,1)+(3-1)*7&lt;=$D56,DATE($B$1,1,1)+3*7-1&gt;=$C56),1,""))</f>
        <v/>
      </c>
      <c r="H56" s="10">
        <f>IF(OR($C56="",$D56=""),"",IF(AND(DATE($B$1,1,1)+(4-1)*7&lt;=$D56,DATE($B$1,1,1)+4*7-1&gt;=$C56),1,""))</f>
        <v/>
      </c>
      <c r="I56" s="10">
        <f>IF(OR($C56="",$D56=""),"",IF(AND(DATE($B$1,1,1)+(5-1)*7&lt;=$D56,DATE($B$1,1,1)+5*7-1&gt;=$C56),1,""))</f>
        <v/>
      </c>
      <c r="J56" s="10">
        <f>IF(OR($C56="",$D56=""),"",IF(AND(DATE($B$1,1,1)+(6-1)*7&lt;=$D56,DATE($B$1,1,1)+6*7-1&gt;=$C56),1,""))</f>
        <v/>
      </c>
      <c r="K56" s="10">
        <f>IF(OR($C56="",$D56=""),"",IF(AND(DATE($B$1,1,1)+(7-1)*7&lt;=$D56,DATE($B$1,1,1)+7*7-1&gt;=$C56),1,""))</f>
        <v/>
      </c>
      <c r="L56" s="10">
        <f>IF(OR($C56="",$D56=""),"",IF(AND(DATE($B$1,1,1)+(8-1)*7&lt;=$D56,DATE($B$1,1,1)+8*7-1&gt;=$C56),1,""))</f>
        <v/>
      </c>
      <c r="M56" s="10">
        <f>IF(OR($C56="",$D56=""),"",IF(AND(DATE($B$1,1,1)+(9-1)*7&lt;=$D56,DATE($B$1,1,1)+9*7-1&gt;=$C56),1,""))</f>
        <v/>
      </c>
      <c r="N56" s="10">
        <f>IF(OR($C56="",$D56=""),"",IF(AND(DATE($B$1,1,1)+(10-1)*7&lt;=$D56,DATE($B$1,1,1)+10*7-1&gt;=$C56),1,""))</f>
        <v/>
      </c>
      <c r="O56" s="10">
        <f>IF(OR($C56="",$D56=""),"",IF(AND(DATE($B$1,1,1)+(11-1)*7&lt;=$D56,DATE($B$1,1,1)+11*7-1&gt;=$C56),1,""))</f>
        <v/>
      </c>
      <c r="P56" s="10">
        <f>IF(OR($C56="",$D56=""),"",IF(AND(DATE($B$1,1,1)+(12-1)*7&lt;=$D56,DATE($B$1,1,1)+12*7-1&gt;=$C56),1,""))</f>
        <v/>
      </c>
      <c r="Q56" s="10">
        <f>IF(OR($C56="",$D56=""),"",IF(AND(DATE($B$1,1,1)+(13-1)*7&lt;=$D56,DATE($B$1,1,1)+13*7-1&gt;=$C56),1,""))</f>
        <v/>
      </c>
      <c r="R56" s="10">
        <f>IF(OR($C56="",$D56=""),"",IF(AND(DATE($B$1,1,1)+(14-1)*7&lt;=$D56,DATE($B$1,1,1)+14*7-1&gt;=$C56),1,""))</f>
        <v/>
      </c>
      <c r="S56" s="10">
        <f>IF(OR($C56="",$D56=""),"",IF(AND(DATE($B$1,1,1)+(15-1)*7&lt;=$D56,DATE($B$1,1,1)+15*7-1&gt;=$C56),1,""))</f>
        <v/>
      </c>
      <c r="T56" s="10">
        <f>IF(OR($C56="",$D56=""),"",IF(AND(DATE($B$1,1,1)+(16-1)*7&lt;=$D56,DATE($B$1,1,1)+16*7-1&gt;=$C56),1,""))</f>
        <v/>
      </c>
      <c r="U56" s="10">
        <f>IF(OR($C56="",$D56=""),"",IF(AND(DATE($B$1,1,1)+(17-1)*7&lt;=$D56,DATE($B$1,1,1)+17*7-1&gt;=$C56),1,""))</f>
        <v/>
      </c>
      <c r="V56" s="10">
        <f>IF(OR($C56="",$D56=""),"",IF(AND(DATE($B$1,1,1)+(18-1)*7&lt;=$D56,DATE($B$1,1,1)+18*7-1&gt;=$C56),1,""))</f>
        <v/>
      </c>
      <c r="W56" s="10">
        <f>IF(OR($C56="",$D56=""),"",IF(AND(DATE($B$1,1,1)+(19-1)*7&lt;=$D56,DATE($B$1,1,1)+19*7-1&gt;=$C56),1,""))</f>
        <v/>
      </c>
      <c r="X56" s="10">
        <f>IF(OR($C56="",$D56=""),"",IF(AND(DATE($B$1,1,1)+(20-1)*7&lt;=$D56,DATE($B$1,1,1)+20*7-1&gt;=$C56),1,""))</f>
        <v/>
      </c>
      <c r="Y56" s="10">
        <f>IF(OR($C56="",$D56=""),"",IF(AND(DATE($B$1,1,1)+(21-1)*7&lt;=$D56,DATE($B$1,1,1)+21*7-1&gt;=$C56),1,""))</f>
        <v/>
      </c>
      <c r="Z56" s="10">
        <f>IF(OR($C56="",$D56=""),"",IF(AND(DATE($B$1,1,1)+(22-1)*7&lt;=$D56,DATE($B$1,1,1)+22*7-1&gt;=$C56),1,""))</f>
        <v/>
      </c>
      <c r="AA56" s="10">
        <f>IF(OR($C56="",$D56=""),"",IF(AND(DATE($B$1,1,1)+(23-1)*7&lt;=$D56,DATE($B$1,1,1)+23*7-1&gt;=$C56),1,""))</f>
        <v/>
      </c>
      <c r="AB56" s="10">
        <f>IF(OR($C56="",$D56=""),"",IF(AND(DATE($B$1,1,1)+(24-1)*7&lt;=$D56,DATE($B$1,1,1)+24*7-1&gt;=$C56),1,""))</f>
        <v/>
      </c>
      <c r="AC56" s="10">
        <f>IF(OR($C56="",$D56=""),"",IF(AND(DATE($B$1,1,1)+(25-1)*7&lt;=$D56,DATE($B$1,1,1)+25*7-1&gt;=$C56),1,""))</f>
        <v/>
      </c>
      <c r="AD56" s="10">
        <f>IF(OR($C56="",$D56=""),"",IF(AND(DATE($B$1,1,1)+(26-1)*7&lt;=$D56,DATE($B$1,1,1)+26*7-1&gt;=$C56),1,""))</f>
        <v/>
      </c>
      <c r="AE56" s="10">
        <f>IF(OR($C56="",$D56=""),"",IF(AND(DATE($B$1,1,1)+(27-1)*7&lt;=$D56,DATE($B$1,1,1)+27*7-1&gt;=$C56),1,""))</f>
        <v/>
      </c>
      <c r="AF56" s="10">
        <f>IF(OR($C56="",$D56=""),"",IF(AND(DATE($B$1,1,1)+(28-1)*7&lt;=$D56,DATE($B$1,1,1)+28*7-1&gt;=$C56),1,""))</f>
        <v/>
      </c>
      <c r="AG56" s="10">
        <f>IF(OR($C56="",$D56=""),"",IF(AND(DATE($B$1,1,1)+(29-1)*7&lt;=$D56,DATE($B$1,1,1)+29*7-1&gt;=$C56),1,""))</f>
        <v/>
      </c>
      <c r="AH56" s="10">
        <f>IF(OR($C56="",$D56=""),"",IF(AND(DATE($B$1,1,1)+(30-1)*7&lt;=$D56,DATE($B$1,1,1)+30*7-1&gt;=$C56),1,""))</f>
        <v/>
      </c>
      <c r="AI56" s="10">
        <f>IF(OR($C56="",$D56=""),"",IF(AND(DATE($B$1,1,1)+(31-1)*7&lt;=$D56,DATE($B$1,1,1)+31*7-1&gt;=$C56),1,""))</f>
        <v/>
      </c>
      <c r="AJ56" s="10">
        <f>IF(OR($C56="",$D56=""),"",IF(AND(DATE($B$1,1,1)+(32-1)*7&lt;=$D56,DATE($B$1,1,1)+32*7-1&gt;=$C56),1,""))</f>
        <v/>
      </c>
      <c r="AK56" s="10">
        <f>IF(OR($C56="",$D56=""),"",IF(AND(DATE($B$1,1,1)+(33-1)*7&lt;=$D56,DATE($B$1,1,1)+33*7-1&gt;=$C56),1,""))</f>
        <v/>
      </c>
      <c r="AL56" s="10">
        <f>IF(OR($C56="",$D56=""),"",IF(AND(DATE($B$1,1,1)+(34-1)*7&lt;=$D56,DATE($B$1,1,1)+34*7-1&gt;=$C56),1,""))</f>
        <v/>
      </c>
      <c r="AM56" s="10">
        <f>IF(OR($C56="",$D56=""),"",IF(AND(DATE($B$1,1,1)+(35-1)*7&lt;=$D56,DATE($B$1,1,1)+35*7-1&gt;=$C56),1,""))</f>
        <v/>
      </c>
      <c r="AN56" s="10">
        <f>IF(OR($C56="",$D56=""),"",IF(AND(DATE($B$1,1,1)+(36-1)*7&lt;=$D56,DATE($B$1,1,1)+36*7-1&gt;=$C56),1,""))</f>
        <v/>
      </c>
      <c r="AO56" s="10">
        <f>IF(OR($C56="",$D56=""),"",IF(AND(DATE($B$1,1,1)+(37-1)*7&lt;=$D56,DATE($B$1,1,1)+37*7-1&gt;=$C56),1,""))</f>
        <v/>
      </c>
      <c r="AP56" s="10">
        <f>IF(OR($C56="",$D56=""),"",IF(AND(DATE($B$1,1,1)+(38-1)*7&lt;=$D56,DATE($B$1,1,1)+38*7-1&gt;=$C56),1,""))</f>
        <v/>
      </c>
      <c r="AQ56" s="10">
        <f>IF(OR($C56="",$D56=""),"",IF(AND(DATE($B$1,1,1)+(39-1)*7&lt;=$D56,DATE($B$1,1,1)+39*7-1&gt;=$C56),1,""))</f>
        <v/>
      </c>
      <c r="AR56" s="10">
        <f>IF(OR($C56="",$D56=""),"",IF(AND(DATE($B$1,1,1)+(40-1)*7&lt;=$D56,DATE($B$1,1,1)+40*7-1&gt;=$C56),1,""))</f>
        <v/>
      </c>
      <c r="AS56" s="10">
        <f>IF(OR($C56="",$D56=""),"",IF(AND(DATE($B$1,1,1)+(41-1)*7&lt;=$D56,DATE($B$1,1,1)+41*7-1&gt;=$C56),1,""))</f>
        <v/>
      </c>
      <c r="AT56" s="10">
        <f>IF(OR($C56="",$D56=""),"",IF(AND(DATE($B$1,1,1)+(42-1)*7&lt;=$D56,DATE($B$1,1,1)+42*7-1&gt;=$C56),1,""))</f>
        <v/>
      </c>
      <c r="AU56" s="10">
        <f>IF(OR($C56="",$D56=""),"",IF(AND(DATE($B$1,1,1)+(43-1)*7&lt;=$D56,DATE($B$1,1,1)+43*7-1&gt;=$C56),1,""))</f>
        <v/>
      </c>
      <c r="AV56" s="10">
        <f>IF(OR($C56="",$D56=""),"",IF(AND(DATE($B$1,1,1)+(44-1)*7&lt;=$D56,DATE($B$1,1,1)+44*7-1&gt;=$C56),1,""))</f>
        <v/>
      </c>
      <c r="AW56" s="10">
        <f>IF(OR($C56="",$D56=""),"",IF(AND(DATE($B$1,1,1)+(45-1)*7&lt;=$D56,DATE($B$1,1,1)+45*7-1&gt;=$C56),1,""))</f>
        <v/>
      </c>
      <c r="AX56" s="10">
        <f>IF(OR($C56="",$D56=""),"",IF(AND(DATE($B$1,1,1)+(46-1)*7&lt;=$D56,DATE($B$1,1,1)+46*7-1&gt;=$C56),1,""))</f>
        <v/>
      </c>
      <c r="AY56" s="10">
        <f>IF(OR($C56="",$D56=""),"",IF(AND(DATE($B$1,1,1)+(47-1)*7&lt;=$D56,DATE($B$1,1,1)+47*7-1&gt;=$C56),1,""))</f>
        <v/>
      </c>
      <c r="AZ56" s="10">
        <f>IF(OR($C56="",$D56=""),"",IF(AND(DATE($B$1,1,1)+(48-1)*7&lt;=$D56,DATE($B$1,1,1)+48*7-1&gt;=$C56),1,""))</f>
        <v/>
      </c>
      <c r="BA56" s="10">
        <f>IF(OR($C56="",$D56=""),"",IF(AND(DATE($B$1,1,1)+(49-1)*7&lt;=$D56,DATE($B$1,1,1)+49*7-1&gt;=$C56),1,""))</f>
        <v/>
      </c>
      <c r="BB56" s="10">
        <f>IF(OR($C56="",$D56=""),"",IF(AND(DATE($B$1,1,1)+(50-1)*7&lt;=$D56,DATE($B$1,1,1)+50*7-1&gt;=$C56),1,""))</f>
        <v/>
      </c>
      <c r="BC56" s="10">
        <f>IF(OR($C56="",$D56=""),"",IF(AND(DATE($B$1,1,1)+(51-1)*7&lt;=$D56,DATE($B$1,1,1)+51*7-1&gt;=$C56),1,""))</f>
        <v/>
      </c>
      <c r="BD56" s="10">
        <f>IF(OR($C56="",$D56=""),"",IF(AND(DATE($B$1,1,1)+(52-1)*7&lt;=$D56,DATE($B$1,1,1)+52*7-1&gt;=$C56),1,""))</f>
        <v/>
      </c>
      <c r="BE56" s="10">
        <f>IF(OR($C56="",$D56=""),"",IF(AND(DATE($B$1,1,1)+(53-1)*7&lt;=$D56,DATE($B$1,1,1)+53*7-1&gt;=$C56),1,""))</f>
        <v/>
      </c>
      <c r="BF56" s="10">
        <f>IF(OR($C56="",$D56=""),"",IF(AND(DATE($B$1,1,1)+(54-1)*7&lt;=$D56,DATE($B$1,1,1)+54*7-1&gt;=$C56),1,""))</f>
        <v/>
      </c>
    </row>
    <row r="57">
      <c r="A57" s="6" t="n"/>
      <c r="B57" s="6" t="n"/>
      <c r="C57" s="11" t="n"/>
      <c r="D57" s="11" t="n"/>
      <c r="E57" s="10">
        <f>IF(OR($C57="",$D57=""),"",IF(AND(DATE($B$1,1,1)+(1-1)*7&lt;=$D57,DATE($B$1,1,1)+1*7-1&gt;=$C57),1,""))</f>
        <v/>
      </c>
      <c r="F57" s="10">
        <f>IF(OR($C57="",$D57=""),"",IF(AND(DATE($B$1,1,1)+(2-1)*7&lt;=$D57,DATE($B$1,1,1)+2*7-1&gt;=$C57),1,""))</f>
        <v/>
      </c>
      <c r="G57" s="10">
        <f>IF(OR($C57="",$D57=""),"",IF(AND(DATE($B$1,1,1)+(3-1)*7&lt;=$D57,DATE($B$1,1,1)+3*7-1&gt;=$C57),1,""))</f>
        <v/>
      </c>
      <c r="H57" s="10">
        <f>IF(OR($C57="",$D57=""),"",IF(AND(DATE($B$1,1,1)+(4-1)*7&lt;=$D57,DATE($B$1,1,1)+4*7-1&gt;=$C57),1,""))</f>
        <v/>
      </c>
      <c r="I57" s="10">
        <f>IF(OR($C57="",$D57=""),"",IF(AND(DATE($B$1,1,1)+(5-1)*7&lt;=$D57,DATE($B$1,1,1)+5*7-1&gt;=$C57),1,""))</f>
        <v/>
      </c>
      <c r="J57" s="10">
        <f>IF(OR($C57="",$D57=""),"",IF(AND(DATE($B$1,1,1)+(6-1)*7&lt;=$D57,DATE($B$1,1,1)+6*7-1&gt;=$C57),1,""))</f>
        <v/>
      </c>
      <c r="K57" s="10">
        <f>IF(OR($C57="",$D57=""),"",IF(AND(DATE($B$1,1,1)+(7-1)*7&lt;=$D57,DATE($B$1,1,1)+7*7-1&gt;=$C57),1,""))</f>
        <v/>
      </c>
      <c r="L57" s="10">
        <f>IF(OR($C57="",$D57=""),"",IF(AND(DATE($B$1,1,1)+(8-1)*7&lt;=$D57,DATE($B$1,1,1)+8*7-1&gt;=$C57),1,""))</f>
        <v/>
      </c>
      <c r="M57" s="10">
        <f>IF(OR($C57="",$D57=""),"",IF(AND(DATE($B$1,1,1)+(9-1)*7&lt;=$D57,DATE($B$1,1,1)+9*7-1&gt;=$C57),1,""))</f>
        <v/>
      </c>
      <c r="N57" s="10">
        <f>IF(OR($C57="",$D57=""),"",IF(AND(DATE($B$1,1,1)+(10-1)*7&lt;=$D57,DATE($B$1,1,1)+10*7-1&gt;=$C57),1,""))</f>
        <v/>
      </c>
      <c r="O57" s="10">
        <f>IF(OR($C57="",$D57=""),"",IF(AND(DATE($B$1,1,1)+(11-1)*7&lt;=$D57,DATE($B$1,1,1)+11*7-1&gt;=$C57),1,""))</f>
        <v/>
      </c>
      <c r="P57" s="10">
        <f>IF(OR($C57="",$D57=""),"",IF(AND(DATE($B$1,1,1)+(12-1)*7&lt;=$D57,DATE($B$1,1,1)+12*7-1&gt;=$C57),1,""))</f>
        <v/>
      </c>
      <c r="Q57" s="10">
        <f>IF(OR($C57="",$D57=""),"",IF(AND(DATE($B$1,1,1)+(13-1)*7&lt;=$D57,DATE($B$1,1,1)+13*7-1&gt;=$C57),1,""))</f>
        <v/>
      </c>
      <c r="R57" s="10">
        <f>IF(OR($C57="",$D57=""),"",IF(AND(DATE($B$1,1,1)+(14-1)*7&lt;=$D57,DATE($B$1,1,1)+14*7-1&gt;=$C57),1,""))</f>
        <v/>
      </c>
      <c r="S57" s="10">
        <f>IF(OR($C57="",$D57=""),"",IF(AND(DATE($B$1,1,1)+(15-1)*7&lt;=$D57,DATE($B$1,1,1)+15*7-1&gt;=$C57),1,""))</f>
        <v/>
      </c>
      <c r="T57" s="10">
        <f>IF(OR($C57="",$D57=""),"",IF(AND(DATE($B$1,1,1)+(16-1)*7&lt;=$D57,DATE($B$1,1,1)+16*7-1&gt;=$C57),1,""))</f>
        <v/>
      </c>
      <c r="U57" s="10">
        <f>IF(OR($C57="",$D57=""),"",IF(AND(DATE($B$1,1,1)+(17-1)*7&lt;=$D57,DATE($B$1,1,1)+17*7-1&gt;=$C57),1,""))</f>
        <v/>
      </c>
      <c r="V57" s="10">
        <f>IF(OR($C57="",$D57=""),"",IF(AND(DATE($B$1,1,1)+(18-1)*7&lt;=$D57,DATE($B$1,1,1)+18*7-1&gt;=$C57),1,""))</f>
        <v/>
      </c>
      <c r="W57" s="10">
        <f>IF(OR($C57="",$D57=""),"",IF(AND(DATE($B$1,1,1)+(19-1)*7&lt;=$D57,DATE($B$1,1,1)+19*7-1&gt;=$C57),1,""))</f>
        <v/>
      </c>
      <c r="X57" s="10">
        <f>IF(OR($C57="",$D57=""),"",IF(AND(DATE($B$1,1,1)+(20-1)*7&lt;=$D57,DATE($B$1,1,1)+20*7-1&gt;=$C57),1,""))</f>
        <v/>
      </c>
      <c r="Y57" s="10">
        <f>IF(OR($C57="",$D57=""),"",IF(AND(DATE($B$1,1,1)+(21-1)*7&lt;=$D57,DATE($B$1,1,1)+21*7-1&gt;=$C57),1,""))</f>
        <v/>
      </c>
      <c r="Z57" s="10">
        <f>IF(OR($C57="",$D57=""),"",IF(AND(DATE($B$1,1,1)+(22-1)*7&lt;=$D57,DATE($B$1,1,1)+22*7-1&gt;=$C57),1,""))</f>
        <v/>
      </c>
      <c r="AA57" s="10">
        <f>IF(OR($C57="",$D57=""),"",IF(AND(DATE($B$1,1,1)+(23-1)*7&lt;=$D57,DATE($B$1,1,1)+23*7-1&gt;=$C57),1,""))</f>
        <v/>
      </c>
      <c r="AB57" s="10">
        <f>IF(OR($C57="",$D57=""),"",IF(AND(DATE($B$1,1,1)+(24-1)*7&lt;=$D57,DATE($B$1,1,1)+24*7-1&gt;=$C57),1,""))</f>
        <v/>
      </c>
      <c r="AC57" s="10">
        <f>IF(OR($C57="",$D57=""),"",IF(AND(DATE($B$1,1,1)+(25-1)*7&lt;=$D57,DATE($B$1,1,1)+25*7-1&gt;=$C57),1,""))</f>
        <v/>
      </c>
      <c r="AD57" s="10">
        <f>IF(OR($C57="",$D57=""),"",IF(AND(DATE($B$1,1,1)+(26-1)*7&lt;=$D57,DATE($B$1,1,1)+26*7-1&gt;=$C57),1,""))</f>
        <v/>
      </c>
      <c r="AE57" s="10">
        <f>IF(OR($C57="",$D57=""),"",IF(AND(DATE($B$1,1,1)+(27-1)*7&lt;=$D57,DATE($B$1,1,1)+27*7-1&gt;=$C57),1,""))</f>
        <v/>
      </c>
      <c r="AF57" s="10">
        <f>IF(OR($C57="",$D57=""),"",IF(AND(DATE($B$1,1,1)+(28-1)*7&lt;=$D57,DATE($B$1,1,1)+28*7-1&gt;=$C57),1,""))</f>
        <v/>
      </c>
      <c r="AG57" s="10">
        <f>IF(OR($C57="",$D57=""),"",IF(AND(DATE($B$1,1,1)+(29-1)*7&lt;=$D57,DATE($B$1,1,1)+29*7-1&gt;=$C57),1,""))</f>
        <v/>
      </c>
      <c r="AH57" s="10">
        <f>IF(OR($C57="",$D57=""),"",IF(AND(DATE($B$1,1,1)+(30-1)*7&lt;=$D57,DATE($B$1,1,1)+30*7-1&gt;=$C57),1,""))</f>
        <v/>
      </c>
      <c r="AI57" s="10">
        <f>IF(OR($C57="",$D57=""),"",IF(AND(DATE($B$1,1,1)+(31-1)*7&lt;=$D57,DATE($B$1,1,1)+31*7-1&gt;=$C57),1,""))</f>
        <v/>
      </c>
      <c r="AJ57" s="10">
        <f>IF(OR($C57="",$D57=""),"",IF(AND(DATE($B$1,1,1)+(32-1)*7&lt;=$D57,DATE($B$1,1,1)+32*7-1&gt;=$C57),1,""))</f>
        <v/>
      </c>
      <c r="AK57" s="10">
        <f>IF(OR($C57="",$D57=""),"",IF(AND(DATE($B$1,1,1)+(33-1)*7&lt;=$D57,DATE($B$1,1,1)+33*7-1&gt;=$C57),1,""))</f>
        <v/>
      </c>
      <c r="AL57" s="10">
        <f>IF(OR($C57="",$D57=""),"",IF(AND(DATE($B$1,1,1)+(34-1)*7&lt;=$D57,DATE($B$1,1,1)+34*7-1&gt;=$C57),1,""))</f>
        <v/>
      </c>
      <c r="AM57" s="10">
        <f>IF(OR($C57="",$D57=""),"",IF(AND(DATE($B$1,1,1)+(35-1)*7&lt;=$D57,DATE($B$1,1,1)+35*7-1&gt;=$C57),1,""))</f>
        <v/>
      </c>
      <c r="AN57" s="10">
        <f>IF(OR($C57="",$D57=""),"",IF(AND(DATE($B$1,1,1)+(36-1)*7&lt;=$D57,DATE($B$1,1,1)+36*7-1&gt;=$C57),1,""))</f>
        <v/>
      </c>
      <c r="AO57" s="10">
        <f>IF(OR($C57="",$D57=""),"",IF(AND(DATE($B$1,1,1)+(37-1)*7&lt;=$D57,DATE($B$1,1,1)+37*7-1&gt;=$C57),1,""))</f>
        <v/>
      </c>
      <c r="AP57" s="10">
        <f>IF(OR($C57="",$D57=""),"",IF(AND(DATE($B$1,1,1)+(38-1)*7&lt;=$D57,DATE($B$1,1,1)+38*7-1&gt;=$C57),1,""))</f>
        <v/>
      </c>
      <c r="AQ57" s="10">
        <f>IF(OR($C57="",$D57=""),"",IF(AND(DATE($B$1,1,1)+(39-1)*7&lt;=$D57,DATE($B$1,1,1)+39*7-1&gt;=$C57),1,""))</f>
        <v/>
      </c>
      <c r="AR57" s="10">
        <f>IF(OR($C57="",$D57=""),"",IF(AND(DATE($B$1,1,1)+(40-1)*7&lt;=$D57,DATE($B$1,1,1)+40*7-1&gt;=$C57),1,""))</f>
        <v/>
      </c>
      <c r="AS57" s="10">
        <f>IF(OR($C57="",$D57=""),"",IF(AND(DATE($B$1,1,1)+(41-1)*7&lt;=$D57,DATE($B$1,1,1)+41*7-1&gt;=$C57),1,""))</f>
        <v/>
      </c>
      <c r="AT57" s="10">
        <f>IF(OR($C57="",$D57=""),"",IF(AND(DATE($B$1,1,1)+(42-1)*7&lt;=$D57,DATE($B$1,1,1)+42*7-1&gt;=$C57),1,""))</f>
        <v/>
      </c>
      <c r="AU57" s="10">
        <f>IF(OR($C57="",$D57=""),"",IF(AND(DATE($B$1,1,1)+(43-1)*7&lt;=$D57,DATE($B$1,1,1)+43*7-1&gt;=$C57),1,""))</f>
        <v/>
      </c>
      <c r="AV57" s="10">
        <f>IF(OR($C57="",$D57=""),"",IF(AND(DATE($B$1,1,1)+(44-1)*7&lt;=$D57,DATE($B$1,1,1)+44*7-1&gt;=$C57),1,""))</f>
        <v/>
      </c>
      <c r="AW57" s="10">
        <f>IF(OR($C57="",$D57=""),"",IF(AND(DATE($B$1,1,1)+(45-1)*7&lt;=$D57,DATE($B$1,1,1)+45*7-1&gt;=$C57),1,""))</f>
        <v/>
      </c>
      <c r="AX57" s="10">
        <f>IF(OR($C57="",$D57=""),"",IF(AND(DATE($B$1,1,1)+(46-1)*7&lt;=$D57,DATE($B$1,1,1)+46*7-1&gt;=$C57),1,""))</f>
        <v/>
      </c>
      <c r="AY57" s="10">
        <f>IF(OR($C57="",$D57=""),"",IF(AND(DATE($B$1,1,1)+(47-1)*7&lt;=$D57,DATE($B$1,1,1)+47*7-1&gt;=$C57),1,""))</f>
        <v/>
      </c>
      <c r="AZ57" s="10">
        <f>IF(OR($C57="",$D57=""),"",IF(AND(DATE($B$1,1,1)+(48-1)*7&lt;=$D57,DATE($B$1,1,1)+48*7-1&gt;=$C57),1,""))</f>
        <v/>
      </c>
      <c r="BA57" s="10">
        <f>IF(OR($C57="",$D57=""),"",IF(AND(DATE($B$1,1,1)+(49-1)*7&lt;=$D57,DATE($B$1,1,1)+49*7-1&gt;=$C57),1,""))</f>
        <v/>
      </c>
      <c r="BB57" s="10">
        <f>IF(OR($C57="",$D57=""),"",IF(AND(DATE($B$1,1,1)+(50-1)*7&lt;=$D57,DATE($B$1,1,1)+50*7-1&gt;=$C57),1,""))</f>
        <v/>
      </c>
      <c r="BC57" s="10">
        <f>IF(OR($C57="",$D57=""),"",IF(AND(DATE($B$1,1,1)+(51-1)*7&lt;=$D57,DATE($B$1,1,1)+51*7-1&gt;=$C57),1,""))</f>
        <v/>
      </c>
      <c r="BD57" s="10">
        <f>IF(OR($C57="",$D57=""),"",IF(AND(DATE($B$1,1,1)+(52-1)*7&lt;=$D57,DATE($B$1,1,1)+52*7-1&gt;=$C57),1,""))</f>
        <v/>
      </c>
      <c r="BE57" s="10">
        <f>IF(OR($C57="",$D57=""),"",IF(AND(DATE($B$1,1,1)+(53-1)*7&lt;=$D57,DATE($B$1,1,1)+53*7-1&gt;=$C57),1,""))</f>
        <v/>
      </c>
      <c r="BF57" s="10">
        <f>IF(OR($C57="",$D57=""),"",IF(AND(DATE($B$1,1,1)+(54-1)*7&lt;=$D57,DATE($B$1,1,1)+54*7-1&gt;=$C57),1,""))</f>
        <v/>
      </c>
    </row>
    <row r="58">
      <c r="A58" s="6" t="n"/>
      <c r="B58" s="6" t="n"/>
      <c r="C58" s="11" t="n"/>
      <c r="D58" s="11" t="n"/>
      <c r="E58" s="10">
        <f>IF(OR($C58="",$D58=""),"",IF(AND(DATE($B$1,1,1)+(1-1)*7&lt;=$D58,DATE($B$1,1,1)+1*7-1&gt;=$C58),1,""))</f>
        <v/>
      </c>
      <c r="F58" s="10">
        <f>IF(OR($C58="",$D58=""),"",IF(AND(DATE($B$1,1,1)+(2-1)*7&lt;=$D58,DATE($B$1,1,1)+2*7-1&gt;=$C58),1,""))</f>
        <v/>
      </c>
      <c r="G58" s="10">
        <f>IF(OR($C58="",$D58=""),"",IF(AND(DATE($B$1,1,1)+(3-1)*7&lt;=$D58,DATE($B$1,1,1)+3*7-1&gt;=$C58),1,""))</f>
        <v/>
      </c>
      <c r="H58" s="10">
        <f>IF(OR($C58="",$D58=""),"",IF(AND(DATE($B$1,1,1)+(4-1)*7&lt;=$D58,DATE($B$1,1,1)+4*7-1&gt;=$C58),1,""))</f>
        <v/>
      </c>
      <c r="I58" s="10">
        <f>IF(OR($C58="",$D58=""),"",IF(AND(DATE($B$1,1,1)+(5-1)*7&lt;=$D58,DATE($B$1,1,1)+5*7-1&gt;=$C58),1,""))</f>
        <v/>
      </c>
      <c r="J58" s="10">
        <f>IF(OR($C58="",$D58=""),"",IF(AND(DATE($B$1,1,1)+(6-1)*7&lt;=$D58,DATE($B$1,1,1)+6*7-1&gt;=$C58),1,""))</f>
        <v/>
      </c>
      <c r="K58" s="10">
        <f>IF(OR($C58="",$D58=""),"",IF(AND(DATE($B$1,1,1)+(7-1)*7&lt;=$D58,DATE($B$1,1,1)+7*7-1&gt;=$C58),1,""))</f>
        <v/>
      </c>
      <c r="L58" s="10">
        <f>IF(OR($C58="",$D58=""),"",IF(AND(DATE($B$1,1,1)+(8-1)*7&lt;=$D58,DATE($B$1,1,1)+8*7-1&gt;=$C58),1,""))</f>
        <v/>
      </c>
      <c r="M58" s="10">
        <f>IF(OR($C58="",$D58=""),"",IF(AND(DATE($B$1,1,1)+(9-1)*7&lt;=$D58,DATE($B$1,1,1)+9*7-1&gt;=$C58),1,""))</f>
        <v/>
      </c>
      <c r="N58" s="10">
        <f>IF(OR($C58="",$D58=""),"",IF(AND(DATE($B$1,1,1)+(10-1)*7&lt;=$D58,DATE($B$1,1,1)+10*7-1&gt;=$C58),1,""))</f>
        <v/>
      </c>
      <c r="O58" s="10">
        <f>IF(OR($C58="",$D58=""),"",IF(AND(DATE($B$1,1,1)+(11-1)*7&lt;=$D58,DATE($B$1,1,1)+11*7-1&gt;=$C58),1,""))</f>
        <v/>
      </c>
      <c r="P58" s="10">
        <f>IF(OR($C58="",$D58=""),"",IF(AND(DATE($B$1,1,1)+(12-1)*7&lt;=$D58,DATE($B$1,1,1)+12*7-1&gt;=$C58),1,""))</f>
        <v/>
      </c>
      <c r="Q58" s="10">
        <f>IF(OR($C58="",$D58=""),"",IF(AND(DATE($B$1,1,1)+(13-1)*7&lt;=$D58,DATE($B$1,1,1)+13*7-1&gt;=$C58),1,""))</f>
        <v/>
      </c>
      <c r="R58" s="10">
        <f>IF(OR($C58="",$D58=""),"",IF(AND(DATE($B$1,1,1)+(14-1)*7&lt;=$D58,DATE($B$1,1,1)+14*7-1&gt;=$C58),1,""))</f>
        <v/>
      </c>
      <c r="S58" s="10">
        <f>IF(OR($C58="",$D58=""),"",IF(AND(DATE($B$1,1,1)+(15-1)*7&lt;=$D58,DATE($B$1,1,1)+15*7-1&gt;=$C58),1,""))</f>
        <v/>
      </c>
      <c r="T58" s="10">
        <f>IF(OR($C58="",$D58=""),"",IF(AND(DATE($B$1,1,1)+(16-1)*7&lt;=$D58,DATE($B$1,1,1)+16*7-1&gt;=$C58),1,""))</f>
        <v/>
      </c>
      <c r="U58" s="10">
        <f>IF(OR($C58="",$D58=""),"",IF(AND(DATE($B$1,1,1)+(17-1)*7&lt;=$D58,DATE($B$1,1,1)+17*7-1&gt;=$C58),1,""))</f>
        <v/>
      </c>
      <c r="V58" s="10">
        <f>IF(OR($C58="",$D58=""),"",IF(AND(DATE($B$1,1,1)+(18-1)*7&lt;=$D58,DATE($B$1,1,1)+18*7-1&gt;=$C58),1,""))</f>
        <v/>
      </c>
      <c r="W58" s="10">
        <f>IF(OR($C58="",$D58=""),"",IF(AND(DATE($B$1,1,1)+(19-1)*7&lt;=$D58,DATE($B$1,1,1)+19*7-1&gt;=$C58),1,""))</f>
        <v/>
      </c>
      <c r="X58" s="10">
        <f>IF(OR($C58="",$D58=""),"",IF(AND(DATE($B$1,1,1)+(20-1)*7&lt;=$D58,DATE($B$1,1,1)+20*7-1&gt;=$C58),1,""))</f>
        <v/>
      </c>
      <c r="Y58" s="10">
        <f>IF(OR($C58="",$D58=""),"",IF(AND(DATE($B$1,1,1)+(21-1)*7&lt;=$D58,DATE($B$1,1,1)+21*7-1&gt;=$C58),1,""))</f>
        <v/>
      </c>
      <c r="Z58" s="10">
        <f>IF(OR($C58="",$D58=""),"",IF(AND(DATE($B$1,1,1)+(22-1)*7&lt;=$D58,DATE($B$1,1,1)+22*7-1&gt;=$C58),1,""))</f>
        <v/>
      </c>
      <c r="AA58" s="10">
        <f>IF(OR($C58="",$D58=""),"",IF(AND(DATE($B$1,1,1)+(23-1)*7&lt;=$D58,DATE($B$1,1,1)+23*7-1&gt;=$C58),1,""))</f>
        <v/>
      </c>
      <c r="AB58" s="10">
        <f>IF(OR($C58="",$D58=""),"",IF(AND(DATE($B$1,1,1)+(24-1)*7&lt;=$D58,DATE($B$1,1,1)+24*7-1&gt;=$C58),1,""))</f>
        <v/>
      </c>
      <c r="AC58" s="10">
        <f>IF(OR($C58="",$D58=""),"",IF(AND(DATE($B$1,1,1)+(25-1)*7&lt;=$D58,DATE($B$1,1,1)+25*7-1&gt;=$C58),1,""))</f>
        <v/>
      </c>
      <c r="AD58" s="10">
        <f>IF(OR($C58="",$D58=""),"",IF(AND(DATE($B$1,1,1)+(26-1)*7&lt;=$D58,DATE($B$1,1,1)+26*7-1&gt;=$C58),1,""))</f>
        <v/>
      </c>
      <c r="AE58" s="10">
        <f>IF(OR($C58="",$D58=""),"",IF(AND(DATE($B$1,1,1)+(27-1)*7&lt;=$D58,DATE($B$1,1,1)+27*7-1&gt;=$C58),1,""))</f>
        <v/>
      </c>
      <c r="AF58" s="10">
        <f>IF(OR($C58="",$D58=""),"",IF(AND(DATE($B$1,1,1)+(28-1)*7&lt;=$D58,DATE($B$1,1,1)+28*7-1&gt;=$C58),1,""))</f>
        <v/>
      </c>
      <c r="AG58" s="10">
        <f>IF(OR($C58="",$D58=""),"",IF(AND(DATE($B$1,1,1)+(29-1)*7&lt;=$D58,DATE($B$1,1,1)+29*7-1&gt;=$C58),1,""))</f>
        <v/>
      </c>
      <c r="AH58" s="10">
        <f>IF(OR($C58="",$D58=""),"",IF(AND(DATE($B$1,1,1)+(30-1)*7&lt;=$D58,DATE($B$1,1,1)+30*7-1&gt;=$C58),1,""))</f>
        <v/>
      </c>
      <c r="AI58" s="10">
        <f>IF(OR($C58="",$D58=""),"",IF(AND(DATE($B$1,1,1)+(31-1)*7&lt;=$D58,DATE($B$1,1,1)+31*7-1&gt;=$C58),1,""))</f>
        <v/>
      </c>
      <c r="AJ58" s="10">
        <f>IF(OR($C58="",$D58=""),"",IF(AND(DATE($B$1,1,1)+(32-1)*7&lt;=$D58,DATE($B$1,1,1)+32*7-1&gt;=$C58),1,""))</f>
        <v/>
      </c>
      <c r="AK58" s="10">
        <f>IF(OR($C58="",$D58=""),"",IF(AND(DATE($B$1,1,1)+(33-1)*7&lt;=$D58,DATE($B$1,1,1)+33*7-1&gt;=$C58),1,""))</f>
        <v/>
      </c>
      <c r="AL58" s="10">
        <f>IF(OR($C58="",$D58=""),"",IF(AND(DATE($B$1,1,1)+(34-1)*7&lt;=$D58,DATE($B$1,1,1)+34*7-1&gt;=$C58),1,""))</f>
        <v/>
      </c>
      <c r="AM58" s="10">
        <f>IF(OR($C58="",$D58=""),"",IF(AND(DATE($B$1,1,1)+(35-1)*7&lt;=$D58,DATE($B$1,1,1)+35*7-1&gt;=$C58),1,""))</f>
        <v/>
      </c>
      <c r="AN58" s="10">
        <f>IF(OR($C58="",$D58=""),"",IF(AND(DATE($B$1,1,1)+(36-1)*7&lt;=$D58,DATE($B$1,1,1)+36*7-1&gt;=$C58),1,""))</f>
        <v/>
      </c>
      <c r="AO58" s="10">
        <f>IF(OR($C58="",$D58=""),"",IF(AND(DATE($B$1,1,1)+(37-1)*7&lt;=$D58,DATE($B$1,1,1)+37*7-1&gt;=$C58),1,""))</f>
        <v/>
      </c>
      <c r="AP58" s="10">
        <f>IF(OR($C58="",$D58=""),"",IF(AND(DATE($B$1,1,1)+(38-1)*7&lt;=$D58,DATE($B$1,1,1)+38*7-1&gt;=$C58),1,""))</f>
        <v/>
      </c>
      <c r="AQ58" s="10">
        <f>IF(OR($C58="",$D58=""),"",IF(AND(DATE($B$1,1,1)+(39-1)*7&lt;=$D58,DATE($B$1,1,1)+39*7-1&gt;=$C58),1,""))</f>
        <v/>
      </c>
      <c r="AR58" s="10">
        <f>IF(OR($C58="",$D58=""),"",IF(AND(DATE($B$1,1,1)+(40-1)*7&lt;=$D58,DATE($B$1,1,1)+40*7-1&gt;=$C58),1,""))</f>
        <v/>
      </c>
      <c r="AS58" s="10">
        <f>IF(OR($C58="",$D58=""),"",IF(AND(DATE($B$1,1,1)+(41-1)*7&lt;=$D58,DATE($B$1,1,1)+41*7-1&gt;=$C58),1,""))</f>
        <v/>
      </c>
      <c r="AT58" s="10">
        <f>IF(OR($C58="",$D58=""),"",IF(AND(DATE($B$1,1,1)+(42-1)*7&lt;=$D58,DATE($B$1,1,1)+42*7-1&gt;=$C58),1,""))</f>
        <v/>
      </c>
      <c r="AU58" s="10">
        <f>IF(OR($C58="",$D58=""),"",IF(AND(DATE($B$1,1,1)+(43-1)*7&lt;=$D58,DATE($B$1,1,1)+43*7-1&gt;=$C58),1,""))</f>
        <v/>
      </c>
      <c r="AV58" s="10">
        <f>IF(OR($C58="",$D58=""),"",IF(AND(DATE($B$1,1,1)+(44-1)*7&lt;=$D58,DATE($B$1,1,1)+44*7-1&gt;=$C58),1,""))</f>
        <v/>
      </c>
      <c r="AW58" s="10">
        <f>IF(OR($C58="",$D58=""),"",IF(AND(DATE($B$1,1,1)+(45-1)*7&lt;=$D58,DATE($B$1,1,1)+45*7-1&gt;=$C58),1,""))</f>
        <v/>
      </c>
      <c r="AX58" s="10">
        <f>IF(OR($C58="",$D58=""),"",IF(AND(DATE($B$1,1,1)+(46-1)*7&lt;=$D58,DATE($B$1,1,1)+46*7-1&gt;=$C58),1,""))</f>
        <v/>
      </c>
      <c r="AY58" s="10">
        <f>IF(OR($C58="",$D58=""),"",IF(AND(DATE($B$1,1,1)+(47-1)*7&lt;=$D58,DATE($B$1,1,1)+47*7-1&gt;=$C58),1,""))</f>
        <v/>
      </c>
      <c r="AZ58" s="10">
        <f>IF(OR($C58="",$D58=""),"",IF(AND(DATE($B$1,1,1)+(48-1)*7&lt;=$D58,DATE($B$1,1,1)+48*7-1&gt;=$C58),1,""))</f>
        <v/>
      </c>
      <c r="BA58" s="10">
        <f>IF(OR($C58="",$D58=""),"",IF(AND(DATE($B$1,1,1)+(49-1)*7&lt;=$D58,DATE($B$1,1,1)+49*7-1&gt;=$C58),1,""))</f>
        <v/>
      </c>
      <c r="BB58" s="10">
        <f>IF(OR($C58="",$D58=""),"",IF(AND(DATE($B$1,1,1)+(50-1)*7&lt;=$D58,DATE($B$1,1,1)+50*7-1&gt;=$C58),1,""))</f>
        <v/>
      </c>
      <c r="BC58" s="10">
        <f>IF(OR($C58="",$D58=""),"",IF(AND(DATE($B$1,1,1)+(51-1)*7&lt;=$D58,DATE($B$1,1,1)+51*7-1&gt;=$C58),1,""))</f>
        <v/>
      </c>
      <c r="BD58" s="10">
        <f>IF(OR($C58="",$D58=""),"",IF(AND(DATE($B$1,1,1)+(52-1)*7&lt;=$D58,DATE($B$1,1,1)+52*7-1&gt;=$C58),1,""))</f>
        <v/>
      </c>
      <c r="BE58" s="10">
        <f>IF(OR($C58="",$D58=""),"",IF(AND(DATE($B$1,1,1)+(53-1)*7&lt;=$D58,DATE($B$1,1,1)+53*7-1&gt;=$C58),1,""))</f>
        <v/>
      </c>
      <c r="BF58" s="10">
        <f>IF(OR($C58="",$D58=""),"",IF(AND(DATE($B$1,1,1)+(54-1)*7&lt;=$D58,DATE($B$1,1,1)+54*7-1&gt;=$C58),1,""))</f>
        <v/>
      </c>
    </row>
    <row r="59">
      <c r="A59" s="6" t="n"/>
      <c r="B59" s="6" t="n"/>
      <c r="C59" s="11" t="n"/>
      <c r="D59" s="11" t="n"/>
      <c r="E59" s="10">
        <f>IF(OR($C59="",$D59=""),"",IF(AND(DATE($B$1,1,1)+(1-1)*7&lt;=$D59,DATE($B$1,1,1)+1*7-1&gt;=$C59),1,""))</f>
        <v/>
      </c>
      <c r="F59" s="10">
        <f>IF(OR($C59="",$D59=""),"",IF(AND(DATE($B$1,1,1)+(2-1)*7&lt;=$D59,DATE($B$1,1,1)+2*7-1&gt;=$C59),1,""))</f>
        <v/>
      </c>
      <c r="G59" s="10">
        <f>IF(OR($C59="",$D59=""),"",IF(AND(DATE($B$1,1,1)+(3-1)*7&lt;=$D59,DATE($B$1,1,1)+3*7-1&gt;=$C59),1,""))</f>
        <v/>
      </c>
      <c r="H59" s="10">
        <f>IF(OR($C59="",$D59=""),"",IF(AND(DATE($B$1,1,1)+(4-1)*7&lt;=$D59,DATE($B$1,1,1)+4*7-1&gt;=$C59),1,""))</f>
        <v/>
      </c>
      <c r="I59" s="10">
        <f>IF(OR($C59="",$D59=""),"",IF(AND(DATE($B$1,1,1)+(5-1)*7&lt;=$D59,DATE($B$1,1,1)+5*7-1&gt;=$C59),1,""))</f>
        <v/>
      </c>
      <c r="J59" s="10">
        <f>IF(OR($C59="",$D59=""),"",IF(AND(DATE($B$1,1,1)+(6-1)*7&lt;=$D59,DATE($B$1,1,1)+6*7-1&gt;=$C59),1,""))</f>
        <v/>
      </c>
      <c r="K59" s="10">
        <f>IF(OR($C59="",$D59=""),"",IF(AND(DATE($B$1,1,1)+(7-1)*7&lt;=$D59,DATE($B$1,1,1)+7*7-1&gt;=$C59),1,""))</f>
        <v/>
      </c>
      <c r="L59" s="10">
        <f>IF(OR($C59="",$D59=""),"",IF(AND(DATE($B$1,1,1)+(8-1)*7&lt;=$D59,DATE($B$1,1,1)+8*7-1&gt;=$C59),1,""))</f>
        <v/>
      </c>
      <c r="M59" s="10">
        <f>IF(OR($C59="",$D59=""),"",IF(AND(DATE($B$1,1,1)+(9-1)*7&lt;=$D59,DATE($B$1,1,1)+9*7-1&gt;=$C59),1,""))</f>
        <v/>
      </c>
      <c r="N59" s="10">
        <f>IF(OR($C59="",$D59=""),"",IF(AND(DATE($B$1,1,1)+(10-1)*7&lt;=$D59,DATE($B$1,1,1)+10*7-1&gt;=$C59),1,""))</f>
        <v/>
      </c>
      <c r="O59" s="10">
        <f>IF(OR($C59="",$D59=""),"",IF(AND(DATE($B$1,1,1)+(11-1)*7&lt;=$D59,DATE($B$1,1,1)+11*7-1&gt;=$C59),1,""))</f>
        <v/>
      </c>
      <c r="P59" s="10">
        <f>IF(OR($C59="",$D59=""),"",IF(AND(DATE($B$1,1,1)+(12-1)*7&lt;=$D59,DATE($B$1,1,1)+12*7-1&gt;=$C59),1,""))</f>
        <v/>
      </c>
      <c r="Q59" s="10">
        <f>IF(OR($C59="",$D59=""),"",IF(AND(DATE($B$1,1,1)+(13-1)*7&lt;=$D59,DATE($B$1,1,1)+13*7-1&gt;=$C59),1,""))</f>
        <v/>
      </c>
      <c r="R59" s="10">
        <f>IF(OR($C59="",$D59=""),"",IF(AND(DATE($B$1,1,1)+(14-1)*7&lt;=$D59,DATE($B$1,1,1)+14*7-1&gt;=$C59),1,""))</f>
        <v/>
      </c>
      <c r="S59" s="10">
        <f>IF(OR($C59="",$D59=""),"",IF(AND(DATE($B$1,1,1)+(15-1)*7&lt;=$D59,DATE($B$1,1,1)+15*7-1&gt;=$C59),1,""))</f>
        <v/>
      </c>
      <c r="T59" s="10">
        <f>IF(OR($C59="",$D59=""),"",IF(AND(DATE($B$1,1,1)+(16-1)*7&lt;=$D59,DATE($B$1,1,1)+16*7-1&gt;=$C59),1,""))</f>
        <v/>
      </c>
      <c r="U59" s="10">
        <f>IF(OR($C59="",$D59=""),"",IF(AND(DATE($B$1,1,1)+(17-1)*7&lt;=$D59,DATE($B$1,1,1)+17*7-1&gt;=$C59),1,""))</f>
        <v/>
      </c>
      <c r="V59" s="10">
        <f>IF(OR($C59="",$D59=""),"",IF(AND(DATE($B$1,1,1)+(18-1)*7&lt;=$D59,DATE($B$1,1,1)+18*7-1&gt;=$C59),1,""))</f>
        <v/>
      </c>
      <c r="W59" s="10">
        <f>IF(OR($C59="",$D59=""),"",IF(AND(DATE($B$1,1,1)+(19-1)*7&lt;=$D59,DATE($B$1,1,1)+19*7-1&gt;=$C59),1,""))</f>
        <v/>
      </c>
      <c r="X59" s="10">
        <f>IF(OR($C59="",$D59=""),"",IF(AND(DATE($B$1,1,1)+(20-1)*7&lt;=$D59,DATE($B$1,1,1)+20*7-1&gt;=$C59),1,""))</f>
        <v/>
      </c>
      <c r="Y59" s="10">
        <f>IF(OR($C59="",$D59=""),"",IF(AND(DATE($B$1,1,1)+(21-1)*7&lt;=$D59,DATE($B$1,1,1)+21*7-1&gt;=$C59),1,""))</f>
        <v/>
      </c>
      <c r="Z59" s="10">
        <f>IF(OR($C59="",$D59=""),"",IF(AND(DATE($B$1,1,1)+(22-1)*7&lt;=$D59,DATE($B$1,1,1)+22*7-1&gt;=$C59),1,""))</f>
        <v/>
      </c>
      <c r="AA59" s="10">
        <f>IF(OR($C59="",$D59=""),"",IF(AND(DATE($B$1,1,1)+(23-1)*7&lt;=$D59,DATE($B$1,1,1)+23*7-1&gt;=$C59),1,""))</f>
        <v/>
      </c>
      <c r="AB59" s="10">
        <f>IF(OR($C59="",$D59=""),"",IF(AND(DATE($B$1,1,1)+(24-1)*7&lt;=$D59,DATE($B$1,1,1)+24*7-1&gt;=$C59),1,""))</f>
        <v/>
      </c>
      <c r="AC59" s="10">
        <f>IF(OR($C59="",$D59=""),"",IF(AND(DATE($B$1,1,1)+(25-1)*7&lt;=$D59,DATE($B$1,1,1)+25*7-1&gt;=$C59),1,""))</f>
        <v/>
      </c>
      <c r="AD59" s="10">
        <f>IF(OR($C59="",$D59=""),"",IF(AND(DATE($B$1,1,1)+(26-1)*7&lt;=$D59,DATE($B$1,1,1)+26*7-1&gt;=$C59),1,""))</f>
        <v/>
      </c>
      <c r="AE59" s="10">
        <f>IF(OR($C59="",$D59=""),"",IF(AND(DATE($B$1,1,1)+(27-1)*7&lt;=$D59,DATE($B$1,1,1)+27*7-1&gt;=$C59),1,""))</f>
        <v/>
      </c>
      <c r="AF59" s="10">
        <f>IF(OR($C59="",$D59=""),"",IF(AND(DATE($B$1,1,1)+(28-1)*7&lt;=$D59,DATE($B$1,1,1)+28*7-1&gt;=$C59),1,""))</f>
        <v/>
      </c>
      <c r="AG59" s="10">
        <f>IF(OR($C59="",$D59=""),"",IF(AND(DATE($B$1,1,1)+(29-1)*7&lt;=$D59,DATE($B$1,1,1)+29*7-1&gt;=$C59),1,""))</f>
        <v/>
      </c>
      <c r="AH59" s="10">
        <f>IF(OR($C59="",$D59=""),"",IF(AND(DATE($B$1,1,1)+(30-1)*7&lt;=$D59,DATE($B$1,1,1)+30*7-1&gt;=$C59),1,""))</f>
        <v/>
      </c>
      <c r="AI59" s="10">
        <f>IF(OR($C59="",$D59=""),"",IF(AND(DATE($B$1,1,1)+(31-1)*7&lt;=$D59,DATE($B$1,1,1)+31*7-1&gt;=$C59),1,""))</f>
        <v/>
      </c>
      <c r="AJ59" s="10">
        <f>IF(OR($C59="",$D59=""),"",IF(AND(DATE($B$1,1,1)+(32-1)*7&lt;=$D59,DATE($B$1,1,1)+32*7-1&gt;=$C59),1,""))</f>
        <v/>
      </c>
      <c r="AK59" s="10">
        <f>IF(OR($C59="",$D59=""),"",IF(AND(DATE($B$1,1,1)+(33-1)*7&lt;=$D59,DATE($B$1,1,1)+33*7-1&gt;=$C59),1,""))</f>
        <v/>
      </c>
      <c r="AL59" s="10">
        <f>IF(OR($C59="",$D59=""),"",IF(AND(DATE($B$1,1,1)+(34-1)*7&lt;=$D59,DATE($B$1,1,1)+34*7-1&gt;=$C59),1,""))</f>
        <v/>
      </c>
      <c r="AM59" s="10">
        <f>IF(OR($C59="",$D59=""),"",IF(AND(DATE($B$1,1,1)+(35-1)*7&lt;=$D59,DATE($B$1,1,1)+35*7-1&gt;=$C59),1,""))</f>
        <v/>
      </c>
      <c r="AN59" s="10">
        <f>IF(OR($C59="",$D59=""),"",IF(AND(DATE($B$1,1,1)+(36-1)*7&lt;=$D59,DATE($B$1,1,1)+36*7-1&gt;=$C59),1,""))</f>
        <v/>
      </c>
      <c r="AO59" s="10">
        <f>IF(OR($C59="",$D59=""),"",IF(AND(DATE($B$1,1,1)+(37-1)*7&lt;=$D59,DATE($B$1,1,1)+37*7-1&gt;=$C59),1,""))</f>
        <v/>
      </c>
      <c r="AP59" s="10">
        <f>IF(OR($C59="",$D59=""),"",IF(AND(DATE($B$1,1,1)+(38-1)*7&lt;=$D59,DATE($B$1,1,1)+38*7-1&gt;=$C59),1,""))</f>
        <v/>
      </c>
      <c r="AQ59" s="10">
        <f>IF(OR($C59="",$D59=""),"",IF(AND(DATE($B$1,1,1)+(39-1)*7&lt;=$D59,DATE($B$1,1,1)+39*7-1&gt;=$C59),1,""))</f>
        <v/>
      </c>
      <c r="AR59" s="10">
        <f>IF(OR($C59="",$D59=""),"",IF(AND(DATE($B$1,1,1)+(40-1)*7&lt;=$D59,DATE($B$1,1,1)+40*7-1&gt;=$C59),1,""))</f>
        <v/>
      </c>
      <c r="AS59" s="10">
        <f>IF(OR($C59="",$D59=""),"",IF(AND(DATE($B$1,1,1)+(41-1)*7&lt;=$D59,DATE($B$1,1,1)+41*7-1&gt;=$C59),1,""))</f>
        <v/>
      </c>
      <c r="AT59" s="10">
        <f>IF(OR($C59="",$D59=""),"",IF(AND(DATE($B$1,1,1)+(42-1)*7&lt;=$D59,DATE($B$1,1,1)+42*7-1&gt;=$C59),1,""))</f>
        <v/>
      </c>
      <c r="AU59" s="10">
        <f>IF(OR($C59="",$D59=""),"",IF(AND(DATE($B$1,1,1)+(43-1)*7&lt;=$D59,DATE($B$1,1,1)+43*7-1&gt;=$C59),1,""))</f>
        <v/>
      </c>
      <c r="AV59" s="10">
        <f>IF(OR($C59="",$D59=""),"",IF(AND(DATE($B$1,1,1)+(44-1)*7&lt;=$D59,DATE($B$1,1,1)+44*7-1&gt;=$C59),1,""))</f>
        <v/>
      </c>
      <c r="AW59" s="10">
        <f>IF(OR($C59="",$D59=""),"",IF(AND(DATE($B$1,1,1)+(45-1)*7&lt;=$D59,DATE($B$1,1,1)+45*7-1&gt;=$C59),1,""))</f>
        <v/>
      </c>
      <c r="AX59" s="10">
        <f>IF(OR($C59="",$D59=""),"",IF(AND(DATE($B$1,1,1)+(46-1)*7&lt;=$D59,DATE($B$1,1,1)+46*7-1&gt;=$C59),1,""))</f>
        <v/>
      </c>
      <c r="AY59" s="10">
        <f>IF(OR($C59="",$D59=""),"",IF(AND(DATE($B$1,1,1)+(47-1)*7&lt;=$D59,DATE($B$1,1,1)+47*7-1&gt;=$C59),1,""))</f>
        <v/>
      </c>
      <c r="AZ59" s="10">
        <f>IF(OR($C59="",$D59=""),"",IF(AND(DATE($B$1,1,1)+(48-1)*7&lt;=$D59,DATE($B$1,1,1)+48*7-1&gt;=$C59),1,""))</f>
        <v/>
      </c>
      <c r="BA59" s="10">
        <f>IF(OR($C59="",$D59=""),"",IF(AND(DATE($B$1,1,1)+(49-1)*7&lt;=$D59,DATE($B$1,1,1)+49*7-1&gt;=$C59),1,""))</f>
        <v/>
      </c>
      <c r="BB59" s="10">
        <f>IF(OR($C59="",$D59=""),"",IF(AND(DATE($B$1,1,1)+(50-1)*7&lt;=$D59,DATE($B$1,1,1)+50*7-1&gt;=$C59),1,""))</f>
        <v/>
      </c>
      <c r="BC59" s="10">
        <f>IF(OR($C59="",$D59=""),"",IF(AND(DATE($B$1,1,1)+(51-1)*7&lt;=$D59,DATE($B$1,1,1)+51*7-1&gt;=$C59),1,""))</f>
        <v/>
      </c>
      <c r="BD59" s="10">
        <f>IF(OR($C59="",$D59=""),"",IF(AND(DATE($B$1,1,1)+(52-1)*7&lt;=$D59,DATE($B$1,1,1)+52*7-1&gt;=$C59),1,""))</f>
        <v/>
      </c>
      <c r="BE59" s="10">
        <f>IF(OR($C59="",$D59=""),"",IF(AND(DATE($B$1,1,1)+(53-1)*7&lt;=$D59,DATE($B$1,1,1)+53*7-1&gt;=$C59),1,""))</f>
        <v/>
      </c>
      <c r="BF59" s="10">
        <f>IF(OR($C59="",$D59=""),"",IF(AND(DATE($B$1,1,1)+(54-1)*7&lt;=$D59,DATE($B$1,1,1)+54*7-1&gt;=$C59),1,""))</f>
        <v/>
      </c>
    </row>
    <row r="60">
      <c r="A60" s="6" t="n"/>
      <c r="B60" s="6" t="n"/>
      <c r="C60" s="11" t="n"/>
      <c r="D60" s="11" t="n"/>
      <c r="E60" s="10">
        <f>IF(OR($C60="",$D60=""),"",IF(AND(DATE($B$1,1,1)+(1-1)*7&lt;=$D60,DATE($B$1,1,1)+1*7-1&gt;=$C60),1,""))</f>
        <v/>
      </c>
      <c r="F60" s="10">
        <f>IF(OR($C60="",$D60=""),"",IF(AND(DATE($B$1,1,1)+(2-1)*7&lt;=$D60,DATE($B$1,1,1)+2*7-1&gt;=$C60),1,""))</f>
        <v/>
      </c>
      <c r="G60" s="10">
        <f>IF(OR($C60="",$D60=""),"",IF(AND(DATE($B$1,1,1)+(3-1)*7&lt;=$D60,DATE($B$1,1,1)+3*7-1&gt;=$C60),1,""))</f>
        <v/>
      </c>
      <c r="H60" s="10">
        <f>IF(OR($C60="",$D60=""),"",IF(AND(DATE($B$1,1,1)+(4-1)*7&lt;=$D60,DATE($B$1,1,1)+4*7-1&gt;=$C60),1,""))</f>
        <v/>
      </c>
      <c r="I60" s="10">
        <f>IF(OR($C60="",$D60=""),"",IF(AND(DATE($B$1,1,1)+(5-1)*7&lt;=$D60,DATE($B$1,1,1)+5*7-1&gt;=$C60),1,""))</f>
        <v/>
      </c>
      <c r="J60" s="10">
        <f>IF(OR($C60="",$D60=""),"",IF(AND(DATE($B$1,1,1)+(6-1)*7&lt;=$D60,DATE($B$1,1,1)+6*7-1&gt;=$C60),1,""))</f>
        <v/>
      </c>
      <c r="K60" s="10">
        <f>IF(OR($C60="",$D60=""),"",IF(AND(DATE($B$1,1,1)+(7-1)*7&lt;=$D60,DATE($B$1,1,1)+7*7-1&gt;=$C60),1,""))</f>
        <v/>
      </c>
      <c r="L60" s="10">
        <f>IF(OR($C60="",$D60=""),"",IF(AND(DATE($B$1,1,1)+(8-1)*7&lt;=$D60,DATE($B$1,1,1)+8*7-1&gt;=$C60),1,""))</f>
        <v/>
      </c>
      <c r="M60" s="10">
        <f>IF(OR($C60="",$D60=""),"",IF(AND(DATE($B$1,1,1)+(9-1)*7&lt;=$D60,DATE($B$1,1,1)+9*7-1&gt;=$C60),1,""))</f>
        <v/>
      </c>
      <c r="N60" s="10">
        <f>IF(OR($C60="",$D60=""),"",IF(AND(DATE($B$1,1,1)+(10-1)*7&lt;=$D60,DATE($B$1,1,1)+10*7-1&gt;=$C60),1,""))</f>
        <v/>
      </c>
      <c r="O60" s="10">
        <f>IF(OR($C60="",$D60=""),"",IF(AND(DATE($B$1,1,1)+(11-1)*7&lt;=$D60,DATE($B$1,1,1)+11*7-1&gt;=$C60),1,""))</f>
        <v/>
      </c>
      <c r="P60" s="10">
        <f>IF(OR($C60="",$D60=""),"",IF(AND(DATE($B$1,1,1)+(12-1)*7&lt;=$D60,DATE($B$1,1,1)+12*7-1&gt;=$C60),1,""))</f>
        <v/>
      </c>
      <c r="Q60" s="10">
        <f>IF(OR($C60="",$D60=""),"",IF(AND(DATE($B$1,1,1)+(13-1)*7&lt;=$D60,DATE($B$1,1,1)+13*7-1&gt;=$C60),1,""))</f>
        <v/>
      </c>
      <c r="R60" s="10">
        <f>IF(OR($C60="",$D60=""),"",IF(AND(DATE($B$1,1,1)+(14-1)*7&lt;=$D60,DATE($B$1,1,1)+14*7-1&gt;=$C60),1,""))</f>
        <v/>
      </c>
      <c r="S60" s="10">
        <f>IF(OR($C60="",$D60=""),"",IF(AND(DATE($B$1,1,1)+(15-1)*7&lt;=$D60,DATE($B$1,1,1)+15*7-1&gt;=$C60),1,""))</f>
        <v/>
      </c>
      <c r="T60" s="10">
        <f>IF(OR($C60="",$D60=""),"",IF(AND(DATE($B$1,1,1)+(16-1)*7&lt;=$D60,DATE($B$1,1,1)+16*7-1&gt;=$C60),1,""))</f>
        <v/>
      </c>
      <c r="U60" s="10">
        <f>IF(OR($C60="",$D60=""),"",IF(AND(DATE($B$1,1,1)+(17-1)*7&lt;=$D60,DATE($B$1,1,1)+17*7-1&gt;=$C60),1,""))</f>
        <v/>
      </c>
      <c r="V60" s="10">
        <f>IF(OR($C60="",$D60=""),"",IF(AND(DATE($B$1,1,1)+(18-1)*7&lt;=$D60,DATE($B$1,1,1)+18*7-1&gt;=$C60),1,""))</f>
        <v/>
      </c>
      <c r="W60" s="10">
        <f>IF(OR($C60="",$D60=""),"",IF(AND(DATE($B$1,1,1)+(19-1)*7&lt;=$D60,DATE($B$1,1,1)+19*7-1&gt;=$C60),1,""))</f>
        <v/>
      </c>
      <c r="X60" s="10">
        <f>IF(OR($C60="",$D60=""),"",IF(AND(DATE($B$1,1,1)+(20-1)*7&lt;=$D60,DATE($B$1,1,1)+20*7-1&gt;=$C60),1,""))</f>
        <v/>
      </c>
      <c r="Y60" s="10">
        <f>IF(OR($C60="",$D60=""),"",IF(AND(DATE($B$1,1,1)+(21-1)*7&lt;=$D60,DATE($B$1,1,1)+21*7-1&gt;=$C60),1,""))</f>
        <v/>
      </c>
      <c r="Z60" s="10">
        <f>IF(OR($C60="",$D60=""),"",IF(AND(DATE($B$1,1,1)+(22-1)*7&lt;=$D60,DATE($B$1,1,1)+22*7-1&gt;=$C60),1,""))</f>
        <v/>
      </c>
      <c r="AA60" s="10">
        <f>IF(OR($C60="",$D60=""),"",IF(AND(DATE($B$1,1,1)+(23-1)*7&lt;=$D60,DATE($B$1,1,1)+23*7-1&gt;=$C60),1,""))</f>
        <v/>
      </c>
      <c r="AB60" s="10">
        <f>IF(OR($C60="",$D60=""),"",IF(AND(DATE($B$1,1,1)+(24-1)*7&lt;=$D60,DATE($B$1,1,1)+24*7-1&gt;=$C60),1,""))</f>
        <v/>
      </c>
      <c r="AC60" s="10">
        <f>IF(OR($C60="",$D60=""),"",IF(AND(DATE($B$1,1,1)+(25-1)*7&lt;=$D60,DATE($B$1,1,1)+25*7-1&gt;=$C60),1,""))</f>
        <v/>
      </c>
      <c r="AD60" s="10">
        <f>IF(OR($C60="",$D60=""),"",IF(AND(DATE($B$1,1,1)+(26-1)*7&lt;=$D60,DATE($B$1,1,1)+26*7-1&gt;=$C60),1,""))</f>
        <v/>
      </c>
      <c r="AE60" s="10">
        <f>IF(OR($C60="",$D60=""),"",IF(AND(DATE($B$1,1,1)+(27-1)*7&lt;=$D60,DATE($B$1,1,1)+27*7-1&gt;=$C60),1,""))</f>
        <v/>
      </c>
      <c r="AF60" s="10">
        <f>IF(OR($C60="",$D60=""),"",IF(AND(DATE($B$1,1,1)+(28-1)*7&lt;=$D60,DATE($B$1,1,1)+28*7-1&gt;=$C60),1,""))</f>
        <v/>
      </c>
      <c r="AG60" s="10">
        <f>IF(OR($C60="",$D60=""),"",IF(AND(DATE($B$1,1,1)+(29-1)*7&lt;=$D60,DATE($B$1,1,1)+29*7-1&gt;=$C60),1,""))</f>
        <v/>
      </c>
      <c r="AH60" s="10">
        <f>IF(OR($C60="",$D60=""),"",IF(AND(DATE($B$1,1,1)+(30-1)*7&lt;=$D60,DATE($B$1,1,1)+30*7-1&gt;=$C60),1,""))</f>
        <v/>
      </c>
      <c r="AI60" s="10">
        <f>IF(OR($C60="",$D60=""),"",IF(AND(DATE($B$1,1,1)+(31-1)*7&lt;=$D60,DATE($B$1,1,1)+31*7-1&gt;=$C60),1,""))</f>
        <v/>
      </c>
      <c r="AJ60" s="10">
        <f>IF(OR($C60="",$D60=""),"",IF(AND(DATE($B$1,1,1)+(32-1)*7&lt;=$D60,DATE($B$1,1,1)+32*7-1&gt;=$C60),1,""))</f>
        <v/>
      </c>
      <c r="AK60" s="10">
        <f>IF(OR($C60="",$D60=""),"",IF(AND(DATE($B$1,1,1)+(33-1)*7&lt;=$D60,DATE($B$1,1,1)+33*7-1&gt;=$C60),1,""))</f>
        <v/>
      </c>
      <c r="AL60" s="10">
        <f>IF(OR($C60="",$D60=""),"",IF(AND(DATE($B$1,1,1)+(34-1)*7&lt;=$D60,DATE($B$1,1,1)+34*7-1&gt;=$C60),1,""))</f>
        <v/>
      </c>
      <c r="AM60" s="10">
        <f>IF(OR($C60="",$D60=""),"",IF(AND(DATE($B$1,1,1)+(35-1)*7&lt;=$D60,DATE($B$1,1,1)+35*7-1&gt;=$C60),1,""))</f>
        <v/>
      </c>
      <c r="AN60" s="10">
        <f>IF(OR($C60="",$D60=""),"",IF(AND(DATE($B$1,1,1)+(36-1)*7&lt;=$D60,DATE($B$1,1,1)+36*7-1&gt;=$C60),1,""))</f>
        <v/>
      </c>
      <c r="AO60" s="10">
        <f>IF(OR($C60="",$D60=""),"",IF(AND(DATE($B$1,1,1)+(37-1)*7&lt;=$D60,DATE($B$1,1,1)+37*7-1&gt;=$C60),1,""))</f>
        <v/>
      </c>
      <c r="AP60" s="10">
        <f>IF(OR($C60="",$D60=""),"",IF(AND(DATE($B$1,1,1)+(38-1)*7&lt;=$D60,DATE($B$1,1,1)+38*7-1&gt;=$C60),1,""))</f>
        <v/>
      </c>
      <c r="AQ60" s="10">
        <f>IF(OR($C60="",$D60=""),"",IF(AND(DATE($B$1,1,1)+(39-1)*7&lt;=$D60,DATE($B$1,1,1)+39*7-1&gt;=$C60),1,""))</f>
        <v/>
      </c>
      <c r="AR60" s="10">
        <f>IF(OR($C60="",$D60=""),"",IF(AND(DATE($B$1,1,1)+(40-1)*7&lt;=$D60,DATE($B$1,1,1)+40*7-1&gt;=$C60),1,""))</f>
        <v/>
      </c>
      <c r="AS60" s="10">
        <f>IF(OR($C60="",$D60=""),"",IF(AND(DATE($B$1,1,1)+(41-1)*7&lt;=$D60,DATE($B$1,1,1)+41*7-1&gt;=$C60),1,""))</f>
        <v/>
      </c>
      <c r="AT60" s="10">
        <f>IF(OR($C60="",$D60=""),"",IF(AND(DATE($B$1,1,1)+(42-1)*7&lt;=$D60,DATE($B$1,1,1)+42*7-1&gt;=$C60),1,""))</f>
        <v/>
      </c>
      <c r="AU60" s="10">
        <f>IF(OR($C60="",$D60=""),"",IF(AND(DATE($B$1,1,1)+(43-1)*7&lt;=$D60,DATE($B$1,1,1)+43*7-1&gt;=$C60),1,""))</f>
        <v/>
      </c>
      <c r="AV60" s="10">
        <f>IF(OR($C60="",$D60=""),"",IF(AND(DATE($B$1,1,1)+(44-1)*7&lt;=$D60,DATE($B$1,1,1)+44*7-1&gt;=$C60),1,""))</f>
        <v/>
      </c>
      <c r="AW60" s="10">
        <f>IF(OR($C60="",$D60=""),"",IF(AND(DATE($B$1,1,1)+(45-1)*7&lt;=$D60,DATE($B$1,1,1)+45*7-1&gt;=$C60),1,""))</f>
        <v/>
      </c>
      <c r="AX60" s="10">
        <f>IF(OR($C60="",$D60=""),"",IF(AND(DATE($B$1,1,1)+(46-1)*7&lt;=$D60,DATE($B$1,1,1)+46*7-1&gt;=$C60),1,""))</f>
        <v/>
      </c>
      <c r="AY60" s="10">
        <f>IF(OR($C60="",$D60=""),"",IF(AND(DATE($B$1,1,1)+(47-1)*7&lt;=$D60,DATE($B$1,1,1)+47*7-1&gt;=$C60),1,""))</f>
        <v/>
      </c>
      <c r="AZ60" s="10">
        <f>IF(OR($C60="",$D60=""),"",IF(AND(DATE($B$1,1,1)+(48-1)*7&lt;=$D60,DATE($B$1,1,1)+48*7-1&gt;=$C60),1,""))</f>
        <v/>
      </c>
      <c r="BA60" s="10">
        <f>IF(OR($C60="",$D60=""),"",IF(AND(DATE($B$1,1,1)+(49-1)*7&lt;=$D60,DATE($B$1,1,1)+49*7-1&gt;=$C60),1,""))</f>
        <v/>
      </c>
      <c r="BB60" s="10">
        <f>IF(OR($C60="",$D60=""),"",IF(AND(DATE($B$1,1,1)+(50-1)*7&lt;=$D60,DATE($B$1,1,1)+50*7-1&gt;=$C60),1,""))</f>
        <v/>
      </c>
      <c r="BC60" s="10">
        <f>IF(OR($C60="",$D60=""),"",IF(AND(DATE($B$1,1,1)+(51-1)*7&lt;=$D60,DATE($B$1,1,1)+51*7-1&gt;=$C60),1,""))</f>
        <v/>
      </c>
      <c r="BD60" s="10">
        <f>IF(OR($C60="",$D60=""),"",IF(AND(DATE($B$1,1,1)+(52-1)*7&lt;=$D60,DATE($B$1,1,1)+52*7-1&gt;=$C60),1,""))</f>
        <v/>
      </c>
      <c r="BE60" s="10">
        <f>IF(OR($C60="",$D60=""),"",IF(AND(DATE($B$1,1,1)+(53-1)*7&lt;=$D60,DATE($B$1,1,1)+53*7-1&gt;=$C60),1,""))</f>
        <v/>
      </c>
      <c r="BF60" s="10">
        <f>IF(OR($C60="",$D60=""),"",IF(AND(DATE($B$1,1,1)+(54-1)*7&lt;=$D60,DATE($B$1,1,1)+54*7-1&gt;=$C60),1,""))</f>
        <v/>
      </c>
    </row>
    <row r="61">
      <c r="A61" s="6" t="n"/>
      <c r="B61" s="6" t="n"/>
      <c r="C61" s="11" t="n"/>
      <c r="D61" s="11" t="n"/>
      <c r="E61" s="10">
        <f>IF(OR($C61="",$D61=""),"",IF(AND(DATE($B$1,1,1)+(1-1)*7&lt;=$D61,DATE($B$1,1,1)+1*7-1&gt;=$C61),1,""))</f>
        <v/>
      </c>
      <c r="F61" s="10">
        <f>IF(OR($C61="",$D61=""),"",IF(AND(DATE($B$1,1,1)+(2-1)*7&lt;=$D61,DATE($B$1,1,1)+2*7-1&gt;=$C61),1,""))</f>
        <v/>
      </c>
      <c r="G61" s="10">
        <f>IF(OR($C61="",$D61=""),"",IF(AND(DATE($B$1,1,1)+(3-1)*7&lt;=$D61,DATE($B$1,1,1)+3*7-1&gt;=$C61),1,""))</f>
        <v/>
      </c>
      <c r="H61" s="10">
        <f>IF(OR($C61="",$D61=""),"",IF(AND(DATE($B$1,1,1)+(4-1)*7&lt;=$D61,DATE($B$1,1,1)+4*7-1&gt;=$C61),1,""))</f>
        <v/>
      </c>
      <c r="I61" s="10">
        <f>IF(OR($C61="",$D61=""),"",IF(AND(DATE($B$1,1,1)+(5-1)*7&lt;=$D61,DATE($B$1,1,1)+5*7-1&gt;=$C61),1,""))</f>
        <v/>
      </c>
      <c r="J61" s="10">
        <f>IF(OR($C61="",$D61=""),"",IF(AND(DATE($B$1,1,1)+(6-1)*7&lt;=$D61,DATE($B$1,1,1)+6*7-1&gt;=$C61),1,""))</f>
        <v/>
      </c>
      <c r="K61" s="10">
        <f>IF(OR($C61="",$D61=""),"",IF(AND(DATE($B$1,1,1)+(7-1)*7&lt;=$D61,DATE($B$1,1,1)+7*7-1&gt;=$C61),1,""))</f>
        <v/>
      </c>
      <c r="L61" s="10">
        <f>IF(OR($C61="",$D61=""),"",IF(AND(DATE($B$1,1,1)+(8-1)*7&lt;=$D61,DATE($B$1,1,1)+8*7-1&gt;=$C61),1,""))</f>
        <v/>
      </c>
      <c r="M61" s="10">
        <f>IF(OR($C61="",$D61=""),"",IF(AND(DATE($B$1,1,1)+(9-1)*7&lt;=$D61,DATE($B$1,1,1)+9*7-1&gt;=$C61),1,""))</f>
        <v/>
      </c>
      <c r="N61" s="10">
        <f>IF(OR($C61="",$D61=""),"",IF(AND(DATE($B$1,1,1)+(10-1)*7&lt;=$D61,DATE($B$1,1,1)+10*7-1&gt;=$C61),1,""))</f>
        <v/>
      </c>
      <c r="O61" s="10">
        <f>IF(OR($C61="",$D61=""),"",IF(AND(DATE($B$1,1,1)+(11-1)*7&lt;=$D61,DATE($B$1,1,1)+11*7-1&gt;=$C61),1,""))</f>
        <v/>
      </c>
      <c r="P61" s="10">
        <f>IF(OR($C61="",$D61=""),"",IF(AND(DATE($B$1,1,1)+(12-1)*7&lt;=$D61,DATE($B$1,1,1)+12*7-1&gt;=$C61),1,""))</f>
        <v/>
      </c>
      <c r="Q61" s="10">
        <f>IF(OR($C61="",$D61=""),"",IF(AND(DATE($B$1,1,1)+(13-1)*7&lt;=$D61,DATE($B$1,1,1)+13*7-1&gt;=$C61),1,""))</f>
        <v/>
      </c>
      <c r="R61" s="10">
        <f>IF(OR($C61="",$D61=""),"",IF(AND(DATE($B$1,1,1)+(14-1)*7&lt;=$D61,DATE($B$1,1,1)+14*7-1&gt;=$C61),1,""))</f>
        <v/>
      </c>
      <c r="S61" s="10">
        <f>IF(OR($C61="",$D61=""),"",IF(AND(DATE($B$1,1,1)+(15-1)*7&lt;=$D61,DATE($B$1,1,1)+15*7-1&gt;=$C61),1,""))</f>
        <v/>
      </c>
      <c r="T61" s="10">
        <f>IF(OR($C61="",$D61=""),"",IF(AND(DATE($B$1,1,1)+(16-1)*7&lt;=$D61,DATE($B$1,1,1)+16*7-1&gt;=$C61),1,""))</f>
        <v/>
      </c>
      <c r="U61" s="10">
        <f>IF(OR($C61="",$D61=""),"",IF(AND(DATE($B$1,1,1)+(17-1)*7&lt;=$D61,DATE($B$1,1,1)+17*7-1&gt;=$C61),1,""))</f>
        <v/>
      </c>
      <c r="V61" s="10">
        <f>IF(OR($C61="",$D61=""),"",IF(AND(DATE($B$1,1,1)+(18-1)*7&lt;=$D61,DATE($B$1,1,1)+18*7-1&gt;=$C61),1,""))</f>
        <v/>
      </c>
      <c r="W61" s="10">
        <f>IF(OR($C61="",$D61=""),"",IF(AND(DATE($B$1,1,1)+(19-1)*7&lt;=$D61,DATE($B$1,1,1)+19*7-1&gt;=$C61),1,""))</f>
        <v/>
      </c>
      <c r="X61" s="10">
        <f>IF(OR($C61="",$D61=""),"",IF(AND(DATE($B$1,1,1)+(20-1)*7&lt;=$D61,DATE($B$1,1,1)+20*7-1&gt;=$C61),1,""))</f>
        <v/>
      </c>
      <c r="Y61" s="10">
        <f>IF(OR($C61="",$D61=""),"",IF(AND(DATE($B$1,1,1)+(21-1)*7&lt;=$D61,DATE($B$1,1,1)+21*7-1&gt;=$C61),1,""))</f>
        <v/>
      </c>
      <c r="Z61" s="10">
        <f>IF(OR($C61="",$D61=""),"",IF(AND(DATE($B$1,1,1)+(22-1)*7&lt;=$D61,DATE($B$1,1,1)+22*7-1&gt;=$C61),1,""))</f>
        <v/>
      </c>
      <c r="AA61" s="10">
        <f>IF(OR($C61="",$D61=""),"",IF(AND(DATE($B$1,1,1)+(23-1)*7&lt;=$D61,DATE($B$1,1,1)+23*7-1&gt;=$C61),1,""))</f>
        <v/>
      </c>
      <c r="AB61" s="10">
        <f>IF(OR($C61="",$D61=""),"",IF(AND(DATE($B$1,1,1)+(24-1)*7&lt;=$D61,DATE($B$1,1,1)+24*7-1&gt;=$C61),1,""))</f>
        <v/>
      </c>
      <c r="AC61" s="10">
        <f>IF(OR($C61="",$D61=""),"",IF(AND(DATE($B$1,1,1)+(25-1)*7&lt;=$D61,DATE($B$1,1,1)+25*7-1&gt;=$C61),1,""))</f>
        <v/>
      </c>
      <c r="AD61" s="10">
        <f>IF(OR($C61="",$D61=""),"",IF(AND(DATE($B$1,1,1)+(26-1)*7&lt;=$D61,DATE($B$1,1,1)+26*7-1&gt;=$C61),1,""))</f>
        <v/>
      </c>
      <c r="AE61" s="10">
        <f>IF(OR($C61="",$D61=""),"",IF(AND(DATE($B$1,1,1)+(27-1)*7&lt;=$D61,DATE($B$1,1,1)+27*7-1&gt;=$C61),1,""))</f>
        <v/>
      </c>
      <c r="AF61" s="10">
        <f>IF(OR($C61="",$D61=""),"",IF(AND(DATE($B$1,1,1)+(28-1)*7&lt;=$D61,DATE($B$1,1,1)+28*7-1&gt;=$C61),1,""))</f>
        <v/>
      </c>
      <c r="AG61" s="10">
        <f>IF(OR($C61="",$D61=""),"",IF(AND(DATE($B$1,1,1)+(29-1)*7&lt;=$D61,DATE($B$1,1,1)+29*7-1&gt;=$C61),1,""))</f>
        <v/>
      </c>
      <c r="AH61" s="10">
        <f>IF(OR($C61="",$D61=""),"",IF(AND(DATE($B$1,1,1)+(30-1)*7&lt;=$D61,DATE($B$1,1,1)+30*7-1&gt;=$C61),1,""))</f>
        <v/>
      </c>
      <c r="AI61" s="10">
        <f>IF(OR($C61="",$D61=""),"",IF(AND(DATE($B$1,1,1)+(31-1)*7&lt;=$D61,DATE($B$1,1,1)+31*7-1&gt;=$C61),1,""))</f>
        <v/>
      </c>
      <c r="AJ61" s="10">
        <f>IF(OR($C61="",$D61=""),"",IF(AND(DATE($B$1,1,1)+(32-1)*7&lt;=$D61,DATE($B$1,1,1)+32*7-1&gt;=$C61),1,""))</f>
        <v/>
      </c>
      <c r="AK61" s="10">
        <f>IF(OR($C61="",$D61=""),"",IF(AND(DATE($B$1,1,1)+(33-1)*7&lt;=$D61,DATE($B$1,1,1)+33*7-1&gt;=$C61),1,""))</f>
        <v/>
      </c>
      <c r="AL61" s="10">
        <f>IF(OR($C61="",$D61=""),"",IF(AND(DATE($B$1,1,1)+(34-1)*7&lt;=$D61,DATE($B$1,1,1)+34*7-1&gt;=$C61),1,""))</f>
        <v/>
      </c>
      <c r="AM61" s="10">
        <f>IF(OR($C61="",$D61=""),"",IF(AND(DATE($B$1,1,1)+(35-1)*7&lt;=$D61,DATE($B$1,1,1)+35*7-1&gt;=$C61),1,""))</f>
        <v/>
      </c>
      <c r="AN61" s="10">
        <f>IF(OR($C61="",$D61=""),"",IF(AND(DATE($B$1,1,1)+(36-1)*7&lt;=$D61,DATE($B$1,1,1)+36*7-1&gt;=$C61),1,""))</f>
        <v/>
      </c>
      <c r="AO61" s="10">
        <f>IF(OR($C61="",$D61=""),"",IF(AND(DATE($B$1,1,1)+(37-1)*7&lt;=$D61,DATE($B$1,1,1)+37*7-1&gt;=$C61),1,""))</f>
        <v/>
      </c>
      <c r="AP61" s="10">
        <f>IF(OR($C61="",$D61=""),"",IF(AND(DATE($B$1,1,1)+(38-1)*7&lt;=$D61,DATE($B$1,1,1)+38*7-1&gt;=$C61),1,""))</f>
        <v/>
      </c>
      <c r="AQ61" s="10">
        <f>IF(OR($C61="",$D61=""),"",IF(AND(DATE($B$1,1,1)+(39-1)*7&lt;=$D61,DATE($B$1,1,1)+39*7-1&gt;=$C61),1,""))</f>
        <v/>
      </c>
      <c r="AR61" s="10">
        <f>IF(OR($C61="",$D61=""),"",IF(AND(DATE($B$1,1,1)+(40-1)*7&lt;=$D61,DATE($B$1,1,1)+40*7-1&gt;=$C61),1,""))</f>
        <v/>
      </c>
      <c r="AS61" s="10">
        <f>IF(OR($C61="",$D61=""),"",IF(AND(DATE($B$1,1,1)+(41-1)*7&lt;=$D61,DATE($B$1,1,1)+41*7-1&gt;=$C61),1,""))</f>
        <v/>
      </c>
      <c r="AT61" s="10">
        <f>IF(OR($C61="",$D61=""),"",IF(AND(DATE($B$1,1,1)+(42-1)*7&lt;=$D61,DATE($B$1,1,1)+42*7-1&gt;=$C61),1,""))</f>
        <v/>
      </c>
      <c r="AU61" s="10">
        <f>IF(OR($C61="",$D61=""),"",IF(AND(DATE($B$1,1,1)+(43-1)*7&lt;=$D61,DATE($B$1,1,1)+43*7-1&gt;=$C61),1,""))</f>
        <v/>
      </c>
      <c r="AV61" s="10">
        <f>IF(OR($C61="",$D61=""),"",IF(AND(DATE($B$1,1,1)+(44-1)*7&lt;=$D61,DATE($B$1,1,1)+44*7-1&gt;=$C61),1,""))</f>
        <v/>
      </c>
      <c r="AW61" s="10">
        <f>IF(OR($C61="",$D61=""),"",IF(AND(DATE($B$1,1,1)+(45-1)*7&lt;=$D61,DATE($B$1,1,1)+45*7-1&gt;=$C61),1,""))</f>
        <v/>
      </c>
      <c r="AX61" s="10">
        <f>IF(OR($C61="",$D61=""),"",IF(AND(DATE($B$1,1,1)+(46-1)*7&lt;=$D61,DATE($B$1,1,1)+46*7-1&gt;=$C61),1,""))</f>
        <v/>
      </c>
      <c r="AY61" s="10">
        <f>IF(OR($C61="",$D61=""),"",IF(AND(DATE($B$1,1,1)+(47-1)*7&lt;=$D61,DATE($B$1,1,1)+47*7-1&gt;=$C61),1,""))</f>
        <v/>
      </c>
      <c r="AZ61" s="10">
        <f>IF(OR($C61="",$D61=""),"",IF(AND(DATE($B$1,1,1)+(48-1)*7&lt;=$D61,DATE($B$1,1,1)+48*7-1&gt;=$C61),1,""))</f>
        <v/>
      </c>
      <c r="BA61" s="10">
        <f>IF(OR($C61="",$D61=""),"",IF(AND(DATE($B$1,1,1)+(49-1)*7&lt;=$D61,DATE($B$1,1,1)+49*7-1&gt;=$C61),1,""))</f>
        <v/>
      </c>
      <c r="BB61" s="10">
        <f>IF(OR($C61="",$D61=""),"",IF(AND(DATE($B$1,1,1)+(50-1)*7&lt;=$D61,DATE($B$1,1,1)+50*7-1&gt;=$C61),1,""))</f>
        <v/>
      </c>
      <c r="BC61" s="10">
        <f>IF(OR($C61="",$D61=""),"",IF(AND(DATE($B$1,1,1)+(51-1)*7&lt;=$D61,DATE($B$1,1,1)+51*7-1&gt;=$C61),1,""))</f>
        <v/>
      </c>
      <c r="BD61" s="10">
        <f>IF(OR($C61="",$D61=""),"",IF(AND(DATE($B$1,1,1)+(52-1)*7&lt;=$D61,DATE($B$1,1,1)+52*7-1&gt;=$C61),1,""))</f>
        <v/>
      </c>
      <c r="BE61" s="10">
        <f>IF(OR($C61="",$D61=""),"",IF(AND(DATE($B$1,1,1)+(53-1)*7&lt;=$D61,DATE($B$1,1,1)+53*7-1&gt;=$C61),1,""))</f>
        <v/>
      </c>
      <c r="BF61" s="10">
        <f>IF(OR($C61="",$D61=""),"",IF(AND(DATE($B$1,1,1)+(54-1)*7&lt;=$D61,DATE($B$1,1,1)+54*7-1&gt;=$C61),1,""))</f>
        <v/>
      </c>
    </row>
    <row r="62">
      <c r="A62" s="6" t="n"/>
      <c r="B62" s="6" t="n"/>
      <c r="C62" s="11" t="n"/>
      <c r="D62" s="11" t="n"/>
      <c r="E62" s="10">
        <f>IF(OR($C62="",$D62=""),"",IF(AND(DATE($B$1,1,1)+(1-1)*7&lt;=$D62,DATE($B$1,1,1)+1*7-1&gt;=$C62),1,""))</f>
        <v/>
      </c>
      <c r="F62" s="10">
        <f>IF(OR($C62="",$D62=""),"",IF(AND(DATE($B$1,1,1)+(2-1)*7&lt;=$D62,DATE($B$1,1,1)+2*7-1&gt;=$C62),1,""))</f>
        <v/>
      </c>
      <c r="G62" s="10">
        <f>IF(OR($C62="",$D62=""),"",IF(AND(DATE($B$1,1,1)+(3-1)*7&lt;=$D62,DATE($B$1,1,1)+3*7-1&gt;=$C62),1,""))</f>
        <v/>
      </c>
      <c r="H62" s="10">
        <f>IF(OR($C62="",$D62=""),"",IF(AND(DATE($B$1,1,1)+(4-1)*7&lt;=$D62,DATE($B$1,1,1)+4*7-1&gt;=$C62),1,""))</f>
        <v/>
      </c>
      <c r="I62" s="10">
        <f>IF(OR($C62="",$D62=""),"",IF(AND(DATE($B$1,1,1)+(5-1)*7&lt;=$D62,DATE($B$1,1,1)+5*7-1&gt;=$C62),1,""))</f>
        <v/>
      </c>
      <c r="J62" s="10">
        <f>IF(OR($C62="",$D62=""),"",IF(AND(DATE($B$1,1,1)+(6-1)*7&lt;=$D62,DATE($B$1,1,1)+6*7-1&gt;=$C62),1,""))</f>
        <v/>
      </c>
      <c r="K62" s="10">
        <f>IF(OR($C62="",$D62=""),"",IF(AND(DATE($B$1,1,1)+(7-1)*7&lt;=$D62,DATE($B$1,1,1)+7*7-1&gt;=$C62),1,""))</f>
        <v/>
      </c>
      <c r="L62" s="10">
        <f>IF(OR($C62="",$D62=""),"",IF(AND(DATE($B$1,1,1)+(8-1)*7&lt;=$D62,DATE($B$1,1,1)+8*7-1&gt;=$C62),1,""))</f>
        <v/>
      </c>
      <c r="M62" s="10">
        <f>IF(OR($C62="",$D62=""),"",IF(AND(DATE($B$1,1,1)+(9-1)*7&lt;=$D62,DATE($B$1,1,1)+9*7-1&gt;=$C62),1,""))</f>
        <v/>
      </c>
      <c r="N62" s="10">
        <f>IF(OR($C62="",$D62=""),"",IF(AND(DATE($B$1,1,1)+(10-1)*7&lt;=$D62,DATE($B$1,1,1)+10*7-1&gt;=$C62),1,""))</f>
        <v/>
      </c>
      <c r="O62" s="10">
        <f>IF(OR($C62="",$D62=""),"",IF(AND(DATE($B$1,1,1)+(11-1)*7&lt;=$D62,DATE($B$1,1,1)+11*7-1&gt;=$C62),1,""))</f>
        <v/>
      </c>
      <c r="P62" s="10">
        <f>IF(OR($C62="",$D62=""),"",IF(AND(DATE($B$1,1,1)+(12-1)*7&lt;=$D62,DATE($B$1,1,1)+12*7-1&gt;=$C62),1,""))</f>
        <v/>
      </c>
      <c r="Q62" s="10">
        <f>IF(OR($C62="",$D62=""),"",IF(AND(DATE($B$1,1,1)+(13-1)*7&lt;=$D62,DATE($B$1,1,1)+13*7-1&gt;=$C62),1,""))</f>
        <v/>
      </c>
      <c r="R62" s="10">
        <f>IF(OR($C62="",$D62=""),"",IF(AND(DATE($B$1,1,1)+(14-1)*7&lt;=$D62,DATE($B$1,1,1)+14*7-1&gt;=$C62),1,""))</f>
        <v/>
      </c>
      <c r="S62" s="10">
        <f>IF(OR($C62="",$D62=""),"",IF(AND(DATE($B$1,1,1)+(15-1)*7&lt;=$D62,DATE($B$1,1,1)+15*7-1&gt;=$C62),1,""))</f>
        <v/>
      </c>
      <c r="T62" s="10">
        <f>IF(OR($C62="",$D62=""),"",IF(AND(DATE($B$1,1,1)+(16-1)*7&lt;=$D62,DATE($B$1,1,1)+16*7-1&gt;=$C62),1,""))</f>
        <v/>
      </c>
      <c r="U62" s="10">
        <f>IF(OR($C62="",$D62=""),"",IF(AND(DATE($B$1,1,1)+(17-1)*7&lt;=$D62,DATE($B$1,1,1)+17*7-1&gt;=$C62),1,""))</f>
        <v/>
      </c>
      <c r="V62" s="10">
        <f>IF(OR($C62="",$D62=""),"",IF(AND(DATE($B$1,1,1)+(18-1)*7&lt;=$D62,DATE($B$1,1,1)+18*7-1&gt;=$C62),1,""))</f>
        <v/>
      </c>
      <c r="W62" s="10">
        <f>IF(OR($C62="",$D62=""),"",IF(AND(DATE($B$1,1,1)+(19-1)*7&lt;=$D62,DATE($B$1,1,1)+19*7-1&gt;=$C62),1,""))</f>
        <v/>
      </c>
      <c r="X62" s="10">
        <f>IF(OR($C62="",$D62=""),"",IF(AND(DATE($B$1,1,1)+(20-1)*7&lt;=$D62,DATE($B$1,1,1)+20*7-1&gt;=$C62),1,""))</f>
        <v/>
      </c>
      <c r="Y62" s="10">
        <f>IF(OR($C62="",$D62=""),"",IF(AND(DATE($B$1,1,1)+(21-1)*7&lt;=$D62,DATE($B$1,1,1)+21*7-1&gt;=$C62),1,""))</f>
        <v/>
      </c>
      <c r="Z62" s="10">
        <f>IF(OR($C62="",$D62=""),"",IF(AND(DATE($B$1,1,1)+(22-1)*7&lt;=$D62,DATE($B$1,1,1)+22*7-1&gt;=$C62),1,""))</f>
        <v/>
      </c>
      <c r="AA62" s="10">
        <f>IF(OR($C62="",$D62=""),"",IF(AND(DATE($B$1,1,1)+(23-1)*7&lt;=$D62,DATE($B$1,1,1)+23*7-1&gt;=$C62),1,""))</f>
        <v/>
      </c>
      <c r="AB62" s="10">
        <f>IF(OR($C62="",$D62=""),"",IF(AND(DATE($B$1,1,1)+(24-1)*7&lt;=$D62,DATE($B$1,1,1)+24*7-1&gt;=$C62),1,""))</f>
        <v/>
      </c>
      <c r="AC62" s="10">
        <f>IF(OR($C62="",$D62=""),"",IF(AND(DATE($B$1,1,1)+(25-1)*7&lt;=$D62,DATE($B$1,1,1)+25*7-1&gt;=$C62),1,""))</f>
        <v/>
      </c>
      <c r="AD62" s="10">
        <f>IF(OR($C62="",$D62=""),"",IF(AND(DATE($B$1,1,1)+(26-1)*7&lt;=$D62,DATE($B$1,1,1)+26*7-1&gt;=$C62),1,""))</f>
        <v/>
      </c>
      <c r="AE62" s="10">
        <f>IF(OR($C62="",$D62=""),"",IF(AND(DATE($B$1,1,1)+(27-1)*7&lt;=$D62,DATE($B$1,1,1)+27*7-1&gt;=$C62),1,""))</f>
        <v/>
      </c>
      <c r="AF62" s="10">
        <f>IF(OR($C62="",$D62=""),"",IF(AND(DATE($B$1,1,1)+(28-1)*7&lt;=$D62,DATE($B$1,1,1)+28*7-1&gt;=$C62),1,""))</f>
        <v/>
      </c>
      <c r="AG62" s="10">
        <f>IF(OR($C62="",$D62=""),"",IF(AND(DATE($B$1,1,1)+(29-1)*7&lt;=$D62,DATE($B$1,1,1)+29*7-1&gt;=$C62),1,""))</f>
        <v/>
      </c>
      <c r="AH62" s="10">
        <f>IF(OR($C62="",$D62=""),"",IF(AND(DATE($B$1,1,1)+(30-1)*7&lt;=$D62,DATE($B$1,1,1)+30*7-1&gt;=$C62),1,""))</f>
        <v/>
      </c>
      <c r="AI62" s="10">
        <f>IF(OR($C62="",$D62=""),"",IF(AND(DATE($B$1,1,1)+(31-1)*7&lt;=$D62,DATE($B$1,1,1)+31*7-1&gt;=$C62),1,""))</f>
        <v/>
      </c>
      <c r="AJ62" s="10">
        <f>IF(OR($C62="",$D62=""),"",IF(AND(DATE($B$1,1,1)+(32-1)*7&lt;=$D62,DATE($B$1,1,1)+32*7-1&gt;=$C62),1,""))</f>
        <v/>
      </c>
      <c r="AK62" s="10">
        <f>IF(OR($C62="",$D62=""),"",IF(AND(DATE($B$1,1,1)+(33-1)*7&lt;=$D62,DATE($B$1,1,1)+33*7-1&gt;=$C62),1,""))</f>
        <v/>
      </c>
      <c r="AL62" s="10">
        <f>IF(OR($C62="",$D62=""),"",IF(AND(DATE($B$1,1,1)+(34-1)*7&lt;=$D62,DATE($B$1,1,1)+34*7-1&gt;=$C62),1,""))</f>
        <v/>
      </c>
      <c r="AM62" s="10">
        <f>IF(OR($C62="",$D62=""),"",IF(AND(DATE($B$1,1,1)+(35-1)*7&lt;=$D62,DATE($B$1,1,1)+35*7-1&gt;=$C62),1,""))</f>
        <v/>
      </c>
      <c r="AN62" s="10">
        <f>IF(OR($C62="",$D62=""),"",IF(AND(DATE($B$1,1,1)+(36-1)*7&lt;=$D62,DATE($B$1,1,1)+36*7-1&gt;=$C62),1,""))</f>
        <v/>
      </c>
      <c r="AO62" s="10">
        <f>IF(OR($C62="",$D62=""),"",IF(AND(DATE($B$1,1,1)+(37-1)*7&lt;=$D62,DATE($B$1,1,1)+37*7-1&gt;=$C62),1,""))</f>
        <v/>
      </c>
      <c r="AP62" s="10">
        <f>IF(OR($C62="",$D62=""),"",IF(AND(DATE($B$1,1,1)+(38-1)*7&lt;=$D62,DATE($B$1,1,1)+38*7-1&gt;=$C62),1,""))</f>
        <v/>
      </c>
      <c r="AQ62" s="10">
        <f>IF(OR($C62="",$D62=""),"",IF(AND(DATE($B$1,1,1)+(39-1)*7&lt;=$D62,DATE($B$1,1,1)+39*7-1&gt;=$C62),1,""))</f>
        <v/>
      </c>
      <c r="AR62" s="10">
        <f>IF(OR($C62="",$D62=""),"",IF(AND(DATE($B$1,1,1)+(40-1)*7&lt;=$D62,DATE($B$1,1,1)+40*7-1&gt;=$C62),1,""))</f>
        <v/>
      </c>
      <c r="AS62" s="10">
        <f>IF(OR($C62="",$D62=""),"",IF(AND(DATE($B$1,1,1)+(41-1)*7&lt;=$D62,DATE($B$1,1,1)+41*7-1&gt;=$C62),1,""))</f>
        <v/>
      </c>
      <c r="AT62" s="10">
        <f>IF(OR($C62="",$D62=""),"",IF(AND(DATE($B$1,1,1)+(42-1)*7&lt;=$D62,DATE($B$1,1,1)+42*7-1&gt;=$C62),1,""))</f>
        <v/>
      </c>
      <c r="AU62" s="10">
        <f>IF(OR($C62="",$D62=""),"",IF(AND(DATE($B$1,1,1)+(43-1)*7&lt;=$D62,DATE($B$1,1,1)+43*7-1&gt;=$C62),1,""))</f>
        <v/>
      </c>
      <c r="AV62" s="10">
        <f>IF(OR($C62="",$D62=""),"",IF(AND(DATE($B$1,1,1)+(44-1)*7&lt;=$D62,DATE($B$1,1,1)+44*7-1&gt;=$C62),1,""))</f>
        <v/>
      </c>
      <c r="AW62" s="10">
        <f>IF(OR($C62="",$D62=""),"",IF(AND(DATE($B$1,1,1)+(45-1)*7&lt;=$D62,DATE($B$1,1,1)+45*7-1&gt;=$C62),1,""))</f>
        <v/>
      </c>
      <c r="AX62" s="10">
        <f>IF(OR($C62="",$D62=""),"",IF(AND(DATE($B$1,1,1)+(46-1)*7&lt;=$D62,DATE($B$1,1,1)+46*7-1&gt;=$C62),1,""))</f>
        <v/>
      </c>
      <c r="AY62" s="10">
        <f>IF(OR($C62="",$D62=""),"",IF(AND(DATE($B$1,1,1)+(47-1)*7&lt;=$D62,DATE($B$1,1,1)+47*7-1&gt;=$C62),1,""))</f>
        <v/>
      </c>
      <c r="AZ62" s="10">
        <f>IF(OR($C62="",$D62=""),"",IF(AND(DATE($B$1,1,1)+(48-1)*7&lt;=$D62,DATE($B$1,1,1)+48*7-1&gt;=$C62),1,""))</f>
        <v/>
      </c>
      <c r="BA62" s="10">
        <f>IF(OR($C62="",$D62=""),"",IF(AND(DATE($B$1,1,1)+(49-1)*7&lt;=$D62,DATE($B$1,1,1)+49*7-1&gt;=$C62),1,""))</f>
        <v/>
      </c>
      <c r="BB62" s="10">
        <f>IF(OR($C62="",$D62=""),"",IF(AND(DATE($B$1,1,1)+(50-1)*7&lt;=$D62,DATE($B$1,1,1)+50*7-1&gt;=$C62),1,""))</f>
        <v/>
      </c>
      <c r="BC62" s="10">
        <f>IF(OR($C62="",$D62=""),"",IF(AND(DATE($B$1,1,1)+(51-1)*7&lt;=$D62,DATE($B$1,1,1)+51*7-1&gt;=$C62),1,""))</f>
        <v/>
      </c>
      <c r="BD62" s="10">
        <f>IF(OR($C62="",$D62=""),"",IF(AND(DATE($B$1,1,1)+(52-1)*7&lt;=$D62,DATE($B$1,1,1)+52*7-1&gt;=$C62),1,""))</f>
        <v/>
      </c>
      <c r="BE62" s="10">
        <f>IF(OR($C62="",$D62=""),"",IF(AND(DATE($B$1,1,1)+(53-1)*7&lt;=$D62,DATE($B$1,1,1)+53*7-1&gt;=$C62),1,""))</f>
        <v/>
      </c>
      <c r="BF62" s="10">
        <f>IF(OR($C62="",$D62=""),"",IF(AND(DATE($B$1,1,1)+(54-1)*7&lt;=$D62,DATE($B$1,1,1)+54*7-1&gt;=$C62),1,""))</f>
        <v/>
      </c>
    </row>
    <row r="63">
      <c r="A63" s="6" t="n"/>
      <c r="B63" s="6" t="n"/>
      <c r="C63" s="11" t="n"/>
      <c r="D63" s="11" t="n"/>
      <c r="E63" s="10">
        <f>IF(OR($C63="",$D63=""),"",IF(AND(DATE($B$1,1,1)+(1-1)*7&lt;=$D63,DATE($B$1,1,1)+1*7-1&gt;=$C63),1,""))</f>
        <v/>
      </c>
      <c r="F63" s="10">
        <f>IF(OR($C63="",$D63=""),"",IF(AND(DATE($B$1,1,1)+(2-1)*7&lt;=$D63,DATE($B$1,1,1)+2*7-1&gt;=$C63),1,""))</f>
        <v/>
      </c>
      <c r="G63" s="10">
        <f>IF(OR($C63="",$D63=""),"",IF(AND(DATE($B$1,1,1)+(3-1)*7&lt;=$D63,DATE($B$1,1,1)+3*7-1&gt;=$C63),1,""))</f>
        <v/>
      </c>
      <c r="H63" s="10">
        <f>IF(OR($C63="",$D63=""),"",IF(AND(DATE($B$1,1,1)+(4-1)*7&lt;=$D63,DATE($B$1,1,1)+4*7-1&gt;=$C63),1,""))</f>
        <v/>
      </c>
      <c r="I63" s="10">
        <f>IF(OR($C63="",$D63=""),"",IF(AND(DATE($B$1,1,1)+(5-1)*7&lt;=$D63,DATE($B$1,1,1)+5*7-1&gt;=$C63),1,""))</f>
        <v/>
      </c>
      <c r="J63" s="10">
        <f>IF(OR($C63="",$D63=""),"",IF(AND(DATE($B$1,1,1)+(6-1)*7&lt;=$D63,DATE($B$1,1,1)+6*7-1&gt;=$C63),1,""))</f>
        <v/>
      </c>
      <c r="K63" s="10">
        <f>IF(OR($C63="",$D63=""),"",IF(AND(DATE($B$1,1,1)+(7-1)*7&lt;=$D63,DATE($B$1,1,1)+7*7-1&gt;=$C63),1,""))</f>
        <v/>
      </c>
      <c r="L63" s="10">
        <f>IF(OR($C63="",$D63=""),"",IF(AND(DATE($B$1,1,1)+(8-1)*7&lt;=$D63,DATE($B$1,1,1)+8*7-1&gt;=$C63),1,""))</f>
        <v/>
      </c>
      <c r="M63" s="10">
        <f>IF(OR($C63="",$D63=""),"",IF(AND(DATE($B$1,1,1)+(9-1)*7&lt;=$D63,DATE($B$1,1,1)+9*7-1&gt;=$C63),1,""))</f>
        <v/>
      </c>
      <c r="N63" s="10">
        <f>IF(OR($C63="",$D63=""),"",IF(AND(DATE($B$1,1,1)+(10-1)*7&lt;=$D63,DATE($B$1,1,1)+10*7-1&gt;=$C63),1,""))</f>
        <v/>
      </c>
      <c r="O63" s="10">
        <f>IF(OR($C63="",$D63=""),"",IF(AND(DATE($B$1,1,1)+(11-1)*7&lt;=$D63,DATE($B$1,1,1)+11*7-1&gt;=$C63),1,""))</f>
        <v/>
      </c>
      <c r="P63" s="10">
        <f>IF(OR($C63="",$D63=""),"",IF(AND(DATE($B$1,1,1)+(12-1)*7&lt;=$D63,DATE($B$1,1,1)+12*7-1&gt;=$C63),1,""))</f>
        <v/>
      </c>
      <c r="Q63" s="10">
        <f>IF(OR($C63="",$D63=""),"",IF(AND(DATE($B$1,1,1)+(13-1)*7&lt;=$D63,DATE($B$1,1,1)+13*7-1&gt;=$C63),1,""))</f>
        <v/>
      </c>
      <c r="R63" s="10">
        <f>IF(OR($C63="",$D63=""),"",IF(AND(DATE($B$1,1,1)+(14-1)*7&lt;=$D63,DATE($B$1,1,1)+14*7-1&gt;=$C63),1,""))</f>
        <v/>
      </c>
      <c r="S63" s="10">
        <f>IF(OR($C63="",$D63=""),"",IF(AND(DATE($B$1,1,1)+(15-1)*7&lt;=$D63,DATE($B$1,1,1)+15*7-1&gt;=$C63),1,""))</f>
        <v/>
      </c>
      <c r="T63" s="10">
        <f>IF(OR($C63="",$D63=""),"",IF(AND(DATE($B$1,1,1)+(16-1)*7&lt;=$D63,DATE($B$1,1,1)+16*7-1&gt;=$C63),1,""))</f>
        <v/>
      </c>
      <c r="U63" s="10">
        <f>IF(OR($C63="",$D63=""),"",IF(AND(DATE($B$1,1,1)+(17-1)*7&lt;=$D63,DATE($B$1,1,1)+17*7-1&gt;=$C63),1,""))</f>
        <v/>
      </c>
      <c r="V63" s="10">
        <f>IF(OR($C63="",$D63=""),"",IF(AND(DATE($B$1,1,1)+(18-1)*7&lt;=$D63,DATE($B$1,1,1)+18*7-1&gt;=$C63),1,""))</f>
        <v/>
      </c>
      <c r="W63" s="10">
        <f>IF(OR($C63="",$D63=""),"",IF(AND(DATE($B$1,1,1)+(19-1)*7&lt;=$D63,DATE($B$1,1,1)+19*7-1&gt;=$C63),1,""))</f>
        <v/>
      </c>
      <c r="X63" s="10">
        <f>IF(OR($C63="",$D63=""),"",IF(AND(DATE($B$1,1,1)+(20-1)*7&lt;=$D63,DATE($B$1,1,1)+20*7-1&gt;=$C63),1,""))</f>
        <v/>
      </c>
      <c r="Y63" s="10">
        <f>IF(OR($C63="",$D63=""),"",IF(AND(DATE($B$1,1,1)+(21-1)*7&lt;=$D63,DATE($B$1,1,1)+21*7-1&gt;=$C63),1,""))</f>
        <v/>
      </c>
      <c r="Z63" s="10">
        <f>IF(OR($C63="",$D63=""),"",IF(AND(DATE($B$1,1,1)+(22-1)*7&lt;=$D63,DATE($B$1,1,1)+22*7-1&gt;=$C63),1,""))</f>
        <v/>
      </c>
      <c r="AA63" s="10">
        <f>IF(OR($C63="",$D63=""),"",IF(AND(DATE($B$1,1,1)+(23-1)*7&lt;=$D63,DATE($B$1,1,1)+23*7-1&gt;=$C63),1,""))</f>
        <v/>
      </c>
      <c r="AB63" s="10">
        <f>IF(OR($C63="",$D63=""),"",IF(AND(DATE($B$1,1,1)+(24-1)*7&lt;=$D63,DATE($B$1,1,1)+24*7-1&gt;=$C63),1,""))</f>
        <v/>
      </c>
      <c r="AC63" s="10">
        <f>IF(OR($C63="",$D63=""),"",IF(AND(DATE($B$1,1,1)+(25-1)*7&lt;=$D63,DATE($B$1,1,1)+25*7-1&gt;=$C63),1,""))</f>
        <v/>
      </c>
      <c r="AD63" s="10">
        <f>IF(OR($C63="",$D63=""),"",IF(AND(DATE($B$1,1,1)+(26-1)*7&lt;=$D63,DATE($B$1,1,1)+26*7-1&gt;=$C63),1,""))</f>
        <v/>
      </c>
      <c r="AE63" s="10">
        <f>IF(OR($C63="",$D63=""),"",IF(AND(DATE($B$1,1,1)+(27-1)*7&lt;=$D63,DATE($B$1,1,1)+27*7-1&gt;=$C63),1,""))</f>
        <v/>
      </c>
      <c r="AF63" s="10">
        <f>IF(OR($C63="",$D63=""),"",IF(AND(DATE($B$1,1,1)+(28-1)*7&lt;=$D63,DATE($B$1,1,1)+28*7-1&gt;=$C63),1,""))</f>
        <v/>
      </c>
      <c r="AG63" s="10">
        <f>IF(OR($C63="",$D63=""),"",IF(AND(DATE($B$1,1,1)+(29-1)*7&lt;=$D63,DATE($B$1,1,1)+29*7-1&gt;=$C63),1,""))</f>
        <v/>
      </c>
      <c r="AH63" s="10">
        <f>IF(OR($C63="",$D63=""),"",IF(AND(DATE($B$1,1,1)+(30-1)*7&lt;=$D63,DATE($B$1,1,1)+30*7-1&gt;=$C63),1,""))</f>
        <v/>
      </c>
      <c r="AI63" s="10">
        <f>IF(OR($C63="",$D63=""),"",IF(AND(DATE($B$1,1,1)+(31-1)*7&lt;=$D63,DATE($B$1,1,1)+31*7-1&gt;=$C63),1,""))</f>
        <v/>
      </c>
      <c r="AJ63" s="10">
        <f>IF(OR($C63="",$D63=""),"",IF(AND(DATE($B$1,1,1)+(32-1)*7&lt;=$D63,DATE($B$1,1,1)+32*7-1&gt;=$C63),1,""))</f>
        <v/>
      </c>
      <c r="AK63" s="10">
        <f>IF(OR($C63="",$D63=""),"",IF(AND(DATE($B$1,1,1)+(33-1)*7&lt;=$D63,DATE($B$1,1,1)+33*7-1&gt;=$C63),1,""))</f>
        <v/>
      </c>
      <c r="AL63" s="10">
        <f>IF(OR($C63="",$D63=""),"",IF(AND(DATE($B$1,1,1)+(34-1)*7&lt;=$D63,DATE($B$1,1,1)+34*7-1&gt;=$C63),1,""))</f>
        <v/>
      </c>
      <c r="AM63" s="10">
        <f>IF(OR($C63="",$D63=""),"",IF(AND(DATE($B$1,1,1)+(35-1)*7&lt;=$D63,DATE($B$1,1,1)+35*7-1&gt;=$C63),1,""))</f>
        <v/>
      </c>
      <c r="AN63" s="10">
        <f>IF(OR($C63="",$D63=""),"",IF(AND(DATE($B$1,1,1)+(36-1)*7&lt;=$D63,DATE($B$1,1,1)+36*7-1&gt;=$C63),1,""))</f>
        <v/>
      </c>
      <c r="AO63" s="10">
        <f>IF(OR($C63="",$D63=""),"",IF(AND(DATE($B$1,1,1)+(37-1)*7&lt;=$D63,DATE($B$1,1,1)+37*7-1&gt;=$C63),1,""))</f>
        <v/>
      </c>
      <c r="AP63" s="10">
        <f>IF(OR($C63="",$D63=""),"",IF(AND(DATE($B$1,1,1)+(38-1)*7&lt;=$D63,DATE($B$1,1,1)+38*7-1&gt;=$C63),1,""))</f>
        <v/>
      </c>
      <c r="AQ63" s="10">
        <f>IF(OR($C63="",$D63=""),"",IF(AND(DATE($B$1,1,1)+(39-1)*7&lt;=$D63,DATE($B$1,1,1)+39*7-1&gt;=$C63),1,""))</f>
        <v/>
      </c>
      <c r="AR63" s="10">
        <f>IF(OR($C63="",$D63=""),"",IF(AND(DATE($B$1,1,1)+(40-1)*7&lt;=$D63,DATE($B$1,1,1)+40*7-1&gt;=$C63),1,""))</f>
        <v/>
      </c>
      <c r="AS63" s="10">
        <f>IF(OR($C63="",$D63=""),"",IF(AND(DATE($B$1,1,1)+(41-1)*7&lt;=$D63,DATE($B$1,1,1)+41*7-1&gt;=$C63),1,""))</f>
        <v/>
      </c>
      <c r="AT63" s="10">
        <f>IF(OR($C63="",$D63=""),"",IF(AND(DATE($B$1,1,1)+(42-1)*7&lt;=$D63,DATE($B$1,1,1)+42*7-1&gt;=$C63),1,""))</f>
        <v/>
      </c>
      <c r="AU63" s="10">
        <f>IF(OR($C63="",$D63=""),"",IF(AND(DATE($B$1,1,1)+(43-1)*7&lt;=$D63,DATE($B$1,1,1)+43*7-1&gt;=$C63),1,""))</f>
        <v/>
      </c>
      <c r="AV63" s="10">
        <f>IF(OR($C63="",$D63=""),"",IF(AND(DATE($B$1,1,1)+(44-1)*7&lt;=$D63,DATE($B$1,1,1)+44*7-1&gt;=$C63),1,""))</f>
        <v/>
      </c>
      <c r="AW63" s="10">
        <f>IF(OR($C63="",$D63=""),"",IF(AND(DATE($B$1,1,1)+(45-1)*7&lt;=$D63,DATE($B$1,1,1)+45*7-1&gt;=$C63),1,""))</f>
        <v/>
      </c>
      <c r="AX63" s="10">
        <f>IF(OR($C63="",$D63=""),"",IF(AND(DATE($B$1,1,1)+(46-1)*7&lt;=$D63,DATE($B$1,1,1)+46*7-1&gt;=$C63),1,""))</f>
        <v/>
      </c>
      <c r="AY63" s="10">
        <f>IF(OR($C63="",$D63=""),"",IF(AND(DATE($B$1,1,1)+(47-1)*7&lt;=$D63,DATE($B$1,1,1)+47*7-1&gt;=$C63),1,""))</f>
        <v/>
      </c>
      <c r="AZ63" s="10">
        <f>IF(OR($C63="",$D63=""),"",IF(AND(DATE($B$1,1,1)+(48-1)*7&lt;=$D63,DATE($B$1,1,1)+48*7-1&gt;=$C63),1,""))</f>
        <v/>
      </c>
      <c r="BA63" s="10">
        <f>IF(OR($C63="",$D63=""),"",IF(AND(DATE($B$1,1,1)+(49-1)*7&lt;=$D63,DATE($B$1,1,1)+49*7-1&gt;=$C63),1,""))</f>
        <v/>
      </c>
      <c r="BB63" s="10">
        <f>IF(OR($C63="",$D63=""),"",IF(AND(DATE($B$1,1,1)+(50-1)*7&lt;=$D63,DATE($B$1,1,1)+50*7-1&gt;=$C63),1,""))</f>
        <v/>
      </c>
      <c r="BC63" s="10">
        <f>IF(OR($C63="",$D63=""),"",IF(AND(DATE($B$1,1,1)+(51-1)*7&lt;=$D63,DATE($B$1,1,1)+51*7-1&gt;=$C63),1,""))</f>
        <v/>
      </c>
      <c r="BD63" s="10">
        <f>IF(OR($C63="",$D63=""),"",IF(AND(DATE($B$1,1,1)+(52-1)*7&lt;=$D63,DATE($B$1,1,1)+52*7-1&gt;=$C63),1,""))</f>
        <v/>
      </c>
      <c r="BE63" s="10">
        <f>IF(OR($C63="",$D63=""),"",IF(AND(DATE($B$1,1,1)+(53-1)*7&lt;=$D63,DATE($B$1,1,1)+53*7-1&gt;=$C63),1,""))</f>
        <v/>
      </c>
      <c r="BF63" s="10">
        <f>IF(OR($C63="",$D63=""),"",IF(AND(DATE($B$1,1,1)+(54-1)*7&lt;=$D63,DATE($B$1,1,1)+54*7-1&gt;=$C63),1,""))</f>
        <v/>
      </c>
    </row>
    <row r="64">
      <c r="A64" s="6" t="n"/>
      <c r="B64" s="6" t="n"/>
      <c r="C64" s="11" t="n"/>
      <c r="D64" s="11" t="n"/>
      <c r="E64" s="10">
        <f>IF(OR($C64="",$D64=""),"",IF(AND(DATE($B$1,1,1)+(1-1)*7&lt;=$D64,DATE($B$1,1,1)+1*7-1&gt;=$C64),1,""))</f>
        <v/>
      </c>
      <c r="F64" s="10">
        <f>IF(OR($C64="",$D64=""),"",IF(AND(DATE($B$1,1,1)+(2-1)*7&lt;=$D64,DATE($B$1,1,1)+2*7-1&gt;=$C64),1,""))</f>
        <v/>
      </c>
      <c r="G64" s="10">
        <f>IF(OR($C64="",$D64=""),"",IF(AND(DATE($B$1,1,1)+(3-1)*7&lt;=$D64,DATE($B$1,1,1)+3*7-1&gt;=$C64),1,""))</f>
        <v/>
      </c>
      <c r="H64" s="10">
        <f>IF(OR($C64="",$D64=""),"",IF(AND(DATE($B$1,1,1)+(4-1)*7&lt;=$D64,DATE($B$1,1,1)+4*7-1&gt;=$C64),1,""))</f>
        <v/>
      </c>
      <c r="I64" s="10">
        <f>IF(OR($C64="",$D64=""),"",IF(AND(DATE($B$1,1,1)+(5-1)*7&lt;=$D64,DATE($B$1,1,1)+5*7-1&gt;=$C64),1,""))</f>
        <v/>
      </c>
      <c r="J64" s="10">
        <f>IF(OR($C64="",$D64=""),"",IF(AND(DATE($B$1,1,1)+(6-1)*7&lt;=$D64,DATE($B$1,1,1)+6*7-1&gt;=$C64),1,""))</f>
        <v/>
      </c>
      <c r="K64" s="10">
        <f>IF(OR($C64="",$D64=""),"",IF(AND(DATE($B$1,1,1)+(7-1)*7&lt;=$D64,DATE($B$1,1,1)+7*7-1&gt;=$C64),1,""))</f>
        <v/>
      </c>
      <c r="L64" s="10">
        <f>IF(OR($C64="",$D64=""),"",IF(AND(DATE($B$1,1,1)+(8-1)*7&lt;=$D64,DATE($B$1,1,1)+8*7-1&gt;=$C64),1,""))</f>
        <v/>
      </c>
      <c r="M64" s="10">
        <f>IF(OR($C64="",$D64=""),"",IF(AND(DATE($B$1,1,1)+(9-1)*7&lt;=$D64,DATE($B$1,1,1)+9*7-1&gt;=$C64),1,""))</f>
        <v/>
      </c>
      <c r="N64" s="10">
        <f>IF(OR($C64="",$D64=""),"",IF(AND(DATE($B$1,1,1)+(10-1)*7&lt;=$D64,DATE($B$1,1,1)+10*7-1&gt;=$C64),1,""))</f>
        <v/>
      </c>
      <c r="O64" s="10">
        <f>IF(OR($C64="",$D64=""),"",IF(AND(DATE($B$1,1,1)+(11-1)*7&lt;=$D64,DATE($B$1,1,1)+11*7-1&gt;=$C64),1,""))</f>
        <v/>
      </c>
      <c r="P64" s="10">
        <f>IF(OR($C64="",$D64=""),"",IF(AND(DATE($B$1,1,1)+(12-1)*7&lt;=$D64,DATE($B$1,1,1)+12*7-1&gt;=$C64),1,""))</f>
        <v/>
      </c>
      <c r="Q64" s="10">
        <f>IF(OR($C64="",$D64=""),"",IF(AND(DATE($B$1,1,1)+(13-1)*7&lt;=$D64,DATE($B$1,1,1)+13*7-1&gt;=$C64),1,""))</f>
        <v/>
      </c>
      <c r="R64" s="10">
        <f>IF(OR($C64="",$D64=""),"",IF(AND(DATE($B$1,1,1)+(14-1)*7&lt;=$D64,DATE($B$1,1,1)+14*7-1&gt;=$C64),1,""))</f>
        <v/>
      </c>
      <c r="S64" s="10">
        <f>IF(OR($C64="",$D64=""),"",IF(AND(DATE($B$1,1,1)+(15-1)*7&lt;=$D64,DATE($B$1,1,1)+15*7-1&gt;=$C64),1,""))</f>
        <v/>
      </c>
      <c r="T64" s="10">
        <f>IF(OR($C64="",$D64=""),"",IF(AND(DATE($B$1,1,1)+(16-1)*7&lt;=$D64,DATE($B$1,1,1)+16*7-1&gt;=$C64),1,""))</f>
        <v/>
      </c>
      <c r="U64" s="10">
        <f>IF(OR($C64="",$D64=""),"",IF(AND(DATE($B$1,1,1)+(17-1)*7&lt;=$D64,DATE($B$1,1,1)+17*7-1&gt;=$C64),1,""))</f>
        <v/>
      </c>
      <c r="V64" s="10">
        <f>IF(OR($C64="",$D64=""),"",IF(AND(DATE($B$1,1,1)+(18-1)*7&lt;=$D64,DATE($B$1,1,1)+18*7-1&gt;=$C64),1,""))</f>
        <v/>
      </c>
      <c r="W64" s="10">
        <f>IF(OR($C64="",$D64=""),"",IF(AND(DATE($B$1,1,1)+(19-1)*7&lt;=$D64,DATE($B$1,1,1)+19*7-1&gt;=$C64),1,""))</f>
        <v/>
      </c>
      <c r="X64" s="10">
        <f>IF(OR($C64="",$D64=""),"",IF(AND(DATE($B$1,1,1)+(20-1)*7&lt;=$D64,DATE($B$1,1,1)+20*7-1&gt;=$C64),1,""))</f>
        <v/>
      </c>
      <c r="Y64" s="10">
        <f>IF(OR($C64="",$D64=""),"",IF(AND(DATE($B$1,1,1)+(21-1)*7&lt;=$D64,DATE($B$1,1,1)+21*7-1&gt;=$C64),1,""))</f>
        <v/>
      </c>
      <c r="Z64" s="10">
        <f>IF(OR($C64="",$D64=""),"",IF(AND(DATE($B$1,1,1)+(22-1)*7&lt;=$D64,DATE($B$1,1,1)+22*7-1&gt;=$C64),1,""))</f>
        <v/>
      </c>
      <c r="AA64" s="10">
        <f>IF(OR($C64="",$D64=""),"",IF(AND(DATE($B$1,1,1)+(23-1)*7&lt;=$D64,DATE($B$1,1,1)+23*7-1&gt;=$C64),1,""))</f>
        <v/>
      </c>
      <c r="AB64" s="10">
        <f>IF(OR($C64="",$D64=""),"",IF(AND(DATE($B$1,1,1)+(24-1)*7&lt;=$D64,DATE($B$1,1,1)+24*7-1&gt;=$C64),1,""))</f>
        <v/>
      </c>
      <c r="AC64" s="10">
        <f>IF(OR($C64="",$D64=""),"",IF(AND(DATE($B$1,1,1)+(25-1)*7&lt;=$D64,DATE($B$1,1,1)+25*7-1&gt;=$C64),1,""))</f>
        <v/>
      </c>
      <c r="AD64" s="10">
        <f>IF(OR($C64="",$D64=""),"",IF(AND(DATE($B$1,1,1)+(26-1)*7&lt;=$D64,DATE($B$1,1,1)+26*7-1&gt;=$C64),1,""))</f>
        <v/>
      </c>
      <c r="AE64" s="10">
        <f>IF(OR($C64="",$D64=""),"",IF(AND(DATE($B$1,1,1)+(27-1)*7&lt;=$D64,DATE($B$1,1,1)+27*7-1&gt;=$C64),1,""))</f>
        <v/>
      </c>
      <c r="AF64" s="10">
        <f>IF(OR($C64="",$D64=""),"",IF(AND(DATE($B$1,1,1)+(28-1)*7&lt;=$D64,DATE($B$1,1,1)+28*7-1&gt;=$C64),1,""))</f>
        <v/>
      </c>
      <c r="AG64" s="10">
        <f>IF(OR($C64="",$D64=""),"",IF(AND(DATE($B$1,1,1)+(29-1)*7&lt;=$D64,DATE($B$1,1,1)+29*7-1&gt;=$C64),1,""))</f>
        <v/>
      </c>
      <c r="AH64" s="10">
        <f>IF(OR($C64="",$D64=""),"",IF(AND(DATE($B$1,1,1)+(30-1)*7&lt;=$D64,DATE($B$1,1,1)+30*7-1&gt;=$C64),1,""))</f>
        <v/>
      </c>
      <c r="AI64" s="10">
        <f>IF(OR($C64="",$D64=""),"",IF(AND(DATE($B$1,1,1)+(31-1)*7&lt;=$D64,DATE($B$1,1,1)+31*7-1&gt;=$C64),1,""))</f>
        <v/>
      </c>
      <c r="AJ64" s="10">
        <f>IF(OR($C64="",$D64=""),"",IF(AND(DATE($B$1,1,1)+(32-1)*7&lt;=$D64,DATE($B$1,1,1)+32*7-1&gt;=$C64),1,""))</f>
        <v/>
      </c>
      <c r="AK64" s="10">
        <f>IF(OR($C64="",$D64=""),"",IF(AND(DATE($B$1,1,1)+(33-1)*7&lt;=$D64,DATE($B$1,1,1)+33*7-1&gt;=$C64),1,""))</f>
        <v/>
      </c>
      <c r="AL64" s="10">
        <f>IF(OR($C64="",$D64=""),"",IF(AND(DATE($B$1,1,1)+(34-1)*7&lt;=$D64,DATE($B$1,1,1)+34*7-1&gt;=$C64),1,""))</f>
        <v/>
      </c>
      <c r="AM64" s="10">
        <f>IF(OR($C64="",$D64=""),"",IF(AND(DATE($B$1,1,1)+(35-1)*7&lt;=$D64,DATE($B$1,1,1)+35*7-1&gt;=$C64),1,""))</f>
        <v/>
      </c>
      <c r="AN64" s="10">
        <f>IF(OR($C64="",$D64=""),"",IF(AND(DATE($B$1,1,1)+(36-1)*7&lt;=$D64,DATE($B$1,1,1)+36*7-1&gt;=$C64),1,""))</f>
        <v/>
      </c>
      <c r="AO64" s="10">
        <f>IF(OR($C64="",$D64=""),"",IF(AND(DATE($B$1,1,1)+(37-1)*7&lt;=$D64,DATE($B$1,1,1)+37*7-1&gt;=$C64),1,""))</f>
        <v/>
      </c>
      <c r="AP64" s="10">
        <f>IF(OR($C64="",$D64=""),"",IF(AND(DATE($B$1,1,1)+(38-1)*7&lt;=$D64,DATE($B$1,1,1)+38*7-1&gt;=$C64),1,""))</f>
        <v/>
      </c>
      <c r="AQ64" s="10">
        <f>IF(OR($C64="",$D64=""),"",IF(AND(DATE($B$1,1,1)+(39-1)*7&lt;=$D64,DATE($B$1,1,1)+39*7-1&gt;=$C64),1,""))</f>
        <v/>
      </c>
      <c r="AR64" s="10">
        <f>IF(OR($C64="",$D64=""),"",IF(AND(DATE($B$1,1,1)+(40-1)*7&lt;=$D64,DATE($B$1,1,1)+40*7-1&gt;=$C64),1,""))</f>
        <v/>
      </c>
      <c r="AS64" s="10">
        <f>IF(OR($C64="",$D64=""),"",IF(AND(DATE($B$1,1,1)+(41-1)*7&lt;=$D64,DATE($B$1,1,1)+41*7-1&gt;=$C64),1,""))</f>
        <v/>
      </c>
      <c r="AT64" s="10">
        <f>IF(OR($C64="",$D64=""),"",IF(AND(DATE($B$1,1,1)+(42-1)*7&lt;=$D64,DATE($B$1,1,1)+42*7-1&gt;=$C64),1,""))</f>
        <v/>
      </c>
      <c r="AU64" s="10">
        <f>IF(OR($C64="",$D64=""),"",IF(AND(DATE($B$1,1,1)+(43-1)*7&lt;=$D64,DATE($B$1,1,1)+43*7-1&gt;=$C64),1,""))</f>
        <v/>
      </c>
      <c r="AV64" s="10">
        <f>IF(OR($C64="",$D64=""),"",IF(AND(DATE($B$1,1,1)+(44-1)*7&lt;=$D64,DATE($B$1,1,1)+44*7-1&gt;=$C64),1,""))</f>
        <v/>
      </c>
      <c r="AW64" s="10">
        <f>IF(OR($C64="",$D64=""),"",IF(AND(DATE($B$1,1,1)+(45-1)*7&lt;=$D64,DATE($B$1,1,1)+45*7-1&gt;=$C64),1,""))</f>
        <v/>
      </c>
      <c r="AX64" s="10">
        <f>IF(OR($C64="",$D64=""),"",IF(AND(DATE($B$1,1,1)+(46-1)*7&lt;=$D64,DATE($B$1,1,1)+46*7-1&gt;=$C64),1,""))</f>
        <v/>
      </c>
      <c r="AY64" s="10">
        <f>IF(OR($C64="",$D64=""),"",IF(AND(DATE($B$1,1,1)+(47-1)*7&lt;=$D64,DATE($B$1,1,1)+47*7-1&gt;=$C64),1,""))</f>
        <v/>
      </c>
      <c r="AZ64" s="10">
        <f>IF(OR($C64="",$D64=""),"",IF(AND(DATE($B$1,1,1)+(48-1)*7&lt;=$D64,DATE($B$1,1,1)+48*7-1&gt;=$C64),1,""))</f>
        <v/>
      </c>
      <c r="BA64" s="10">
        <f>IF(OR($C64="",$D64=""),"",IF(AND(DATE($B$1,1,1)+(49-1)*7&lt;=$D64,DATE($B$1,1,1)+49*7-1&gt;=$C64),1,""))</f>
        <v/>
      </c>
      <c r="BB64" s="10">
        <f>IF(OR($C64="",$D64=""),"",IF(AND(DATE($B$1,1,1)+(50-1)*7&lt;=$D64,DATE($B$1,1,1)+50*7-1&gt;=$C64),1,""))</f>
        <v/>
      </c>
      <c r="BC64" s="10">
        <f>IF(OR($C64="",$D64=""),"",IF(AND(DATE($B$1,1,1)+(51-1)*7&lt;=$D64,DATE($B$1,1,1)+51*7-1&gt;=$C64),1,""))</f>
        <v/>
      </c>
      <c r="BD64" s="10">
        <f>IF(OR($C64="",$D64=""),"",IF(AND(DATE($B$1,1,1)+(52-1)*7&lt;=$D64,DATE($B$1,1,1)+52*7-1&gt;=$C64),1,""))</f>
        <v/>
      </c>
      <c r="BE64" s="10">
        <f>IF(OR($C64="",$D64=""),"",IF(AND(DATE($B$1,1,1)+(53-1)*7&lt;=$D64,DATE($B$1,1,1)+53*7-1&gt;=$C64),1,""))</f>
        <v/>
      </c>
      <c r="BF64" s="10">
        <f>IF(OR($C64="",$D64=""),"",IF(AND(DATE($B$1,1,1)+(54-1)*7&lt;=$D64,DATE($B$1,1,1)+54*7-1&gt;=$C64),1,""))</f>
        <v/>
      </c>
    </row>
    <row r="65">
      <c r="A65" s="6" t="n"/>
      <c r="B65" s="6" t="n"/>
      <c r="C65" s="11" t="n"/>
      <c r="D65" s="11" t="n"/>
      <c r="E65" s="10">
        <f>IF(OR($C65="",$D65=""),"",IF(AND(DATE($B$1,1,1)+(1-1)*7&lt;=$D65,DATE($B$1,1,1)+1*7-1&gt;=$C65),1,""))</f>
        <v/>
      </c>
      <c r="F65" s="10">
        <f>IF(OR($C65="",$D65=""),"",IF(AND(DATE($B$1,1,1)+(2-1)*7&lt;=$D65,DATE($B$1,1,1)+2*7-1&gt;=$C65),1,""))</f>
        <v/>
      </c>
      <c r="G65" s="10">
        <f>IF(OR($C65="",$D65=""),"",IF(AND(DATE($B$1,1,1)+(3-1)*7&lt;=$D65,DATE($B$1,1,1)+3*7-1&gt;=$C65),1,""))</f>
        <v/>
      </c>
      <c r="H65" s="10">
        <f>IF(OR($C65="",$D65=""),"",IF(AND(DATE($B$1,1,1)+(4-1)*7&lt;=$D65,DATE($B$1,1,1)+4*7-1&gt;=$C65),1,""))</f>
        <v/>
      </c>
      <c r="I65" s="10">
        <f>IF(OR($C65="",$D65=""),"",IF(AND(DATE($B$1,1,1)+(5-1)*7&lt;=$D65,DATE($B$1,1,1)+5*7-1&gt;=$C65),1,""))</f>
        <v/>
      </c>
      <c r="J65" s="10">
        <f>IF(OR($C65="",$D65=""),"",IF(AND(DATE($B$1,1,1)+(6-1)*7&lt;=$D65,DATE($B$1,1,1)+6*7-1&gt;=$C65),1,""))</f>
        <v/>
      </c>
      <c r="K65" s="10">
        <f>IF(OR($C65="",$D65=""),"",IF(AND(DATE($B$1,1,1)+(7-1)*7&lt;=$D65,DATE($B$1,1,1)+7*7-1&gt;=$C65),1,""))</f>
        <v/>
      </c>
      <c r="L65" s="10">
        <f>IF(OR($C65="",$D65=""),"",IF(AND(DATE($B$1,1,1)+(8-1)*7&lt;=$D65,DATE($B$1,1,1)+8*7-1&gt;=$C65),1,""))</f>
        <v/>
      </c>
      <c r="M65" s="10">
        <f>IF(OR($C65="",$D65=""),"",IF(AND(DATE($B$1,1,1)+(9-1)*7&lt;=$D65,DATE($B$1,1,1)+9*7-1&gt;=$C65),1,""))</f>
        <v/>
      </c>
      <c r="N65" s="10">
        <f>IF(OR($C65="",$D65=""),"",IF(AND(DATE($B$1,1,1)+(10-1)*7&lt;=$D65,DATE($B$1,1,1)+10*7-1&gt;=$C65),1,""))</f>
        <v/>
      </c>
      <c r="O65" s="10">
        <f>IF(OR($C65="",$D65=""),"",IF(AND(DATE($B$1,1,1)+(11-1)*7&lt;=$D65,DATE($B$1,1,1)+11*7-1&gt;=$C65),1,""))</f>
        <v/>
      </c>
      <c r="P65" s="10">
        <f>IF(OR($C65="",$D65=""),"",IF(AND(DATE($B$1,1,1)+(12-1)*7&lt;=$D65,DATE($B$1,1,1)+12*7-1&gt;=$C65),1,""))</f>
        <v/>
      </c>
      <c r="Q65" s="10">
        <f>IF(OR($C65="",$D65=""),"",IF(AND(DATE($B$1,1,1)+(13-1)*7&lt;=$D65,DATE($B$1,1,1)+13*7-1&gt;=$C65),1,""))</f>
        <v/>
      </c>
      <c r="R65" s="10">
        <f>IF(OR($C65="",$D65=""),"",IF(AND(DATE($B$1,1,1)+(14-1)*7&lt;=$D65,DATE($B$1,1,1)+14*7-1&gt;=$C65),1,""))</f>
        <v/>
      </c>
      <c r="S65" s="10">
        <f>IF(OR($C65="",$D65=""),"",IF(AND(DATE($B$1,1,1)+(15-1)*7&lt;=$D65,DATE($B$1,1,1)+15*7-1&gt;=$C65),1,""))</f>
        <v/>
      </c>
      <c r="T65" s="10">
        <f>IF(OR($C65="",$D65=""),"",IF(AND(DATE($B$1,1,1)+(16-1)*7&lt;=$D65,DATE($B$1,1,1)+16*7-1&gt;=$C65),1,""))</f>
        <v/>
      </c>
      <c r="U65" s="10">
        <f>IF(OR($C65="",$D65=""),"",IF(AND(DATE($B$1,1,1)+(17-1)*7&lt;=$D65,DATE($B$1,1,1)+17*7-1&gt;=$C65),1,""))</f>
        <v/>
      </c>
      <c r="V65" s="10">
        <f>IF(OR($C65="",$D65=""),"",IF(AND(DATE($B$1,1,1)+(18-1)*7&lt;=$D65,DATE($B$1,1,1)+18*7-1&gt;=$C65),1,""))</f>
        <v/>
      </c>
      <c r="W65" s="10">
        <f>IF(OR($C65="",$D65=""),"",IF(AND(DATE($B$1,1,1)+(19-1)*7&lt;=$D65,DATE($B$1,1,1)+19*7-1&gt;=$C65),1,""))</f>
        <v/>
      </c>
      <c r="X65" s="10">
        <f>IF(OR($C65="",$D65=""),"",IF(AND(DATE($B$1,1,1)+(20-1)*7&lt;=$D65,DATE($B$1,1,1)+20*7-1&gt;=$C65),1,""))</f>
        <v/>
      </c>
      <c r="Y65" s="10">
        <f>IF(OR($C65="",$D65=""),"",IF(AND(DATE($B$1,1,1)+(21-1)*7&lt;=$D65,DATE($B$1,1,1)+21*7-1&gt;=$C65),1,""))</f>
        <v/>
      </c>
      <c r="Z65" s="10">
        <f>IF(OR($C65="",$D65=""),"",IF(AND(DATE($B$1,1,1)+(22-1)*7&lt;=$D65,DATE($B$1,1,1)+22*7-1&gt;=$C65),1,""))</f>
        <v/>
      </c>
      <c r="AA65" s="10">
        <f>IF(OR($C65="",$D65=""),"",IF(AND(DATE($B$1,1,1)+(23-1)*7&lt;=$D65,DATE($B$1,1,1)+23*7-1&gt;=$C65),1,""))</f>
        <v/>
      </c>
      <c r="AB65" s="10">
        <f>IF(OR($C65="",$D65=""),"",IF(AND(DATE($B$1,1,1)+(24-1)*7&lt;=$D65,DATE($B$1,1,1)+24*7-1&gt;=$C65),1,""))</f>
        <v/>
      </c>
      <c r="AC65" s="10">
        <f>IF(OR($C65="",$D65=""),"",IF(AND(DATE($B$1,1,1)+(25-1)*7&lt;=$D65,DATE($B$1,1,1)+25*7-1&gt;=$C65),1,""))</f>
        <v/>
      </c>
      <c r="AD65" s="10">
        <f>IF(OR($C65="",$D65=""),"",IF(AND(DATE($B$1,1,1)+(26-1)*7&lt;=$D65,DATE($B$1,1,1)+26*7-1&gt;=$C65),1,""))</f>
        <v/>
      </c>
      <c r="AE65" s="10">
        <f>IF(OR($C65="",$D65=""),"",IF(AND(DATE($B$1,1,1)+(27-1)*7&lt;=$D65,DATE($B$1,1,1)+27*7-1&gt;=$C65),1,""))</f>
        <v/>
      </c>
      <c r="AF65" s="10">
        <f>IF(OR($C65="",$D65=""),"",IF(AND(DATE($B$1,1,1)+(28-1)*7&lt;=$D65,DATE($B$1,1,1)+28*7-1&gt;=$C65),1,""))</f>
        <v/>
      </c>
      <c r="AG65" s="10">
        <f>IF(OR($C65="",$D65=""),"",IF(AND(DATE($B$1,1,1)+(29-1)*7&lt;=$D65,DATE($B$1,1,1)+29*7-1&gt;=$C65),1,""))</f>
        <v/>
      </c>
      <c r="AH65" s="10">
        <f>IF(OR($C65="",$D65=""),"",IF(AND(DATE($B$1,1,1)+(30-1)*7&lt;=$D65,DATE($B$1,1,1)+30*7-1&gt;=$C65),1,""))</f>
        <v/>
      </c>
      <c r="AI65" s="10">
        <f>IF(OR($C65="",$D65=""),"",IF(AND(DATE($B$1,1,1)+(31-1)*7&lt;=$D65,DATE($B$1,1,1)+31*7-1&gt;=$C65),1,""))</f>
        <v/>
      </c>
      <c r="AJ65" s="10">
        <f>IF(OR($C65="",$D65=""),"",IF(AND(DATE($B$1,1,1)+(32-1)*7&lt;=$D65,DATE($B$1,1,1)+32*7-1&gt;=$C65),1,""))</f>
        <v/>
      </c>
      <c r="AK65" s="10">
        <f>IF(OR($C65="",$D65=""),"",IF(AND(DATE($B$1,1,1)+(33-1)*7&lt;=$D65,DATE($B$1,1,1)+33*7-1&gt;=$C65),1,""))</f>
        <v/>
      </c>
      <c r="AL65" s="10">
        <f>IF(OR($C65="",$D65=""),"",IF(AND(DATE($B$1,1,1)+(34-1)*7&lt;=$D65,DATE($B$1,1,1)+34*7-1&gt;=$C65),1,""))</f>
        <v/>
      </c>
      <c r="AM65" s="10">
        <f>IF(OR($C65="",$D65=""),"",IF(AND(DATE($B$1,1,1)+(35-1)*7&lt;=$D65,DATE($B$1,1,1)+35*7-1&gt;=$C65),1,""))</f>
        <v/>
      </c>
      <c r="AN65" s="10">
        <f>IF(OR($C65="",$D65=""),"",IF(AND(DATE($B$1,1,1)+(36-1)*7&lt;=$D65,DATE($B$1,1,1)+36*7-1&gt;=$C65),1,""))</f>
        <v/>
      </c>
      <c r="AO65" s="10">
        <f>IF(OR($C65="",$D65=""),"",IF(AND(DATE($B$1,1,1)+(37-1)*7&lt;=$D65,DATE($B$1,1,1)+37*7-1&gt;=$C65),1,""))</f>
        <v/>
      </c>
      <c r="AP65" s="10">
        <f>IF(OR($C65="",$D65=""),"",IF(AND(DATE($B$1,1,1)+(38-1)*7&lt;=$D65,DATE($B$1,1,1)+38*7-1&gt;=$C65),1,""))</f>
        <v/>
      </c>
      <c r="AQ65" s="10">
        <f>IF(OR($C65="",$D65=""),"",IF(AND(DATE($B$1,1,1)+(39-1)*7&lt;=$D65,DATE($B$1,1,1)+39*7-1&gt;=$C65),1,""))</f>
        <v/>
      </c>
      <c r="AR65" s="10">
        <f>IF(OR($C65="",$D65=""),"",IF(AND(DATE($B$1,1,1)+(40-1)*7&lt;=$D65,DATE($B$1,1,1)+40*7-1&gt;=$C65),1,""))</f>
        <v/>
      </c>
      <c r="AS65" s="10">
        <f>IF(OR($C65="",$D65=""),"",IF(AND(DATE($B$1,1,1)+(41-1)*7&lt;=$D65,DATE($B$1,1,1)+41*7-1&gt;=$C65),1,""))</f>
        <v/>
      </c>
      <c r="AT65" s="10">
        <f>IF(OR($C65="",$D65=""),"",IF(AND(DATE($B$1,1,1)+(42-1)*7&lt;=$D65,DATE($B$1,1,1)+42*7-1&gt;=$C65),1,""))</f>
        <v/>
      </c>
      <c r="AU65" s="10">
        <f>IF(OR($C65="",$D65=""),"",IF(AND(DATE($B$1,1,1)+(43-1)*7&lt;=$D65,DATE($B$1,1,1)+43*7-1&gt;=$C65),1,""))</f>
        <v/>
      </c>
      <c r="AV65" s="10">
        <f>IF(OR($C65="",$D65=""),"",IF(AND(DATE($B$1,1,1)+(44-1)*7&lt;=$D65,DATE($B$1,1,1)+44*7-1&gt;=$C65),1,""))</f>
        <v/>
      </c>
      <c r="AW65" s="10">
        <f>IF(OR($C65="",$D65=""),"",IF(AND(DATE($B$1,1,1)+(45-1)*7&lt;=$D65,DATE($B$1,1,1)+45*7-1&gt;=$C65),1,""))</f>
        <v/>
      </c>
      <c r="AX65" s="10">
        <f>IF(OR($C65="",$D65=""),"",IF(AND(DATE($B$1,1,1)+(46-1)*7&lt;=$D65,DATE($B$1,1,1)+46*7-1&gt;=$C65),1,""))</f>
        <v/>
      </c>
      <c r="AY65" s="10">
        <f>IF(OR($C65="",$D65=""),"",IF(AND(DATE($B$1,1,1)+(47-1)*7&lt;=$D65,DATE($B$1,1,1)+47*7-1&gt;=$C65),1,""))</f>
        <v/>
      </c>
      <c r="AZ65" s="10">
        <f>IF(OR($C65="",$D65=""),"",IF(AND(DATE($B$1,1,1)+(48-1)*7&lt;=$D65,DATE($B$1,1,1)+48*7-1&gt;=$C65),1,""))</f>
        <v/>
      </c>
      <c r="BA65" s="10">
        <f>IF(OR($C65="",$D65=""),"",IF(AND(DATE($B$1,1,1)+(49-1)*7&lt;=$D65,DATE($B$1,1,1)+49*7-1&gt;=$C65),1,""))</f>
        <v/>
      </c>
      <c r="BB65" s="10">
        <f>IF(OR($C65="",$D65=""),"",IF(AND(DATE($B$1,1,1)+(50-1)*7&lt;=$D65,DATE($B$1,1,1)+50*7-1&gt;=$C65),1,""))</f>
        <v/>
      </c>
      <c r="BC65" s="10">
        <f>IF(OR($C65="",$D65=""),"",IF(AND(DATE($B$1,1,1)+(51-1)*7&lt;=$D65,DATE($B$1,1,1)+51*7-1&gt;=$C65),1,""))</f>
        <v/>
      </c>
      <c r="BD65" s="10">
        <f>IF(OR($C65="",$D65=""),"",IF(AND(DATE($B$1,1,1)+(52-1)*7&lt;=$D65,DATE($B$1,1,1)+52*7-1&gt;=$C65),1,""))</f>
        <v/>
      </c>
      <c r="BE65" s="10">
        <f>IF(OR($C65="",$D65=""),"",IF(AND(DATE($B$1,1,1)+(53-1)*7&lt;=$D65,DATE($B$1,1,1)+53*7-1&gt;=$C65),1,""))</f>
        <v/>
      </c>
      <c r="BF65" s="10">
        <f>IF(OR($C65="",$D65=""),"",IF(AND(DATE($B$1,1,1)+(54-1)*7&lt;=$D65,DATE($B$1,1,1)+54*7-1&gt;=$C65),1,""))</f>
        <v/>
      </c>
    </row>
    <row r="66">
      <c r="A66" s="6" t="n"/>
      <c r="B66" s="6" t="n"/>
      <c r="C66" s="11" t="n"/>
      <c r="D66" s="11" t="n"/>
      <c r="E66" s="10">
        <f>IF(OR($C66="",$D66=""),"",IF(AND(DATE($B$1,1,1)+(1-1)*7&lt;=$D66,DATE($B$1,1,1)+1*7-1&gt;=$C66),1,""))</f>
        <v/>
      </c>
      <c r="F66" s="10">
        <f>IF(OR($C66="",$D66=""),"",IF(AND(DATE($B$1,1,1)+(2-1)*7&lt;=$D66,DATE($B$1,1,1)+2*7-1&gt;=$C66),1,""))</f>
        <v/>
      </c>
      <c r="G66" s="10">
        <f>IF(OR($C66="",$D66=""),"",IF(AND(DATE($B$1,1,1)+(3-1)*7&lt;=$D66,DATE($B$1,1,1)+3*7-1&gt;=$C66),1,""))</f>
        <v/>
      </c>
      <c r="H66" s="10">
        <f>IF(OR($C66="",$D66=""),"",IF(AND(DATE($B$1,1,1)+(4-1)*7&lt;=$D66,DATE($B$1,1,1)+4*7-1&gt;=$C66),1,""))</f>
        <v/>
      </c>
      <c r="I66" s="10">
        <f>IF(OR($C66="",$D66=""),"",IF(AND(DATE($B$1,1,1)+(5-1)*7&lt;=$D66,DATE($B$1,1,1)+5*7-1&gt;=$C66),1,""))</f>
        <v/>
      </c>
      <c r="J66" s="10">
        <f>IF(OR($C66="",$D66=""),"",IF(AND(DATE($B$1,1,1)+(6-1)*7&lt;=$D66,DATE($B$1,1,1)+6*7-1&gt;=$C66),1,""))</f>
        <v/>
      </c>
      <c r="K66" s="10">
        <f>IF(OR($C66="",$D66=""),"",IF(AND(DATE($B$1,1,1)+(7-1)*7&lt;=$D66,DATE($B$1,1,1)+7*7-1&gt;=$C66),1,""))</f>
        <v/>
      </c>
      <c r="L66" s="10">
        <f>IF(OR($C66="",$D66=""),"",IF(AND(DATE($B$1,1,1)+(8-1)*7&lt;=$D66,DATE($B$1,1,1)+8*7-1&gt;=$C66),1,""))</f>
        <v/>
      </c>
      <c r="M66" s="10">
        <f>IF(OR($C66="",$D66=""),"",IF(AND(DATE($B$1,1,1)+(9-1)*7&lt;=$D66,DATE($B$1,1,1)+9*7-1&gt;=$C66),1,""))</f>
        <v/>
      </c>
      <c r="N66" s="10">
        <f>IF(OR($C66="",$D66=""),"",IF(AND(DATE($B$1,1,1)+(10-1)*7&lt;=$D66,DATE($B$1,1,1)+10*7-1&gt;=$C66),1,""))</f>
        <v/>
      </c>
      <c r="O66" s="10">
        <f>IF(OR($C66="",$D66=""),"",IF(AND(DATE($B$1,1,1)+(11-1)*7&lt;=$D66,DATE($B$1,1,1)+11*7-1&gt;=$C66),1,""))</f>
        <v/>
      </c>
      <c r="P66" s="10">
        <f>IF(OR($C66="",$D66=""),"",IF(AND(DATE($B$1,1,1)+(12-1)*7&lt;=$D66,DATE($B$1,1,1)+12*7-1&gt;=$C66),1,""))</f>
        <v/>
      </c>
      <c r="Q66" s="10">
        <f>IF(OR($C66="",$D66=""),"",IF(AND(DATE($B$1,1,1)+(13-1)*7&lt;=$D66,DATE($B$1,1,1)+13*7-1&gt;=$C66),1,""))</f>
        <v/>
      </c>
      <c r="R66" s="10">
        <f>IF(OR($C66="",$D66=""),"",IF(AND(DATE($B$1,1,1)+(14-1)*7&lt;=$D66,DATE($B$1,1,1)+14*7-1&gt;=$C66),1,""))</f>
        <v/>
      </c>
      <c r="S66" s="10">
        <f>IF(OR($C66="",$D66=""),"",IF(AND(DATE($B$1,1,1)+(15-1)*7&lt;=$D66,DATE($B$1,1,1)+15*7-1&gt;=$C66),1,""))</f>
        <v/>
      </c>
      <c r="T66" s="10">
        <f>IF(OR($C66="",$D66=""),"",IF(AND(DATE($B$1,1,1)+(16-1)*7&lt;=$D66,DATE($B$1,1,1)+16*7-1&gt;=$C66),1,""))</f>
        <v/>
      </c>
      <c r="U66" s="10">
        <f>IF(OR($C66="",$D66=""),"",IF(AND(DATE($B$1,1,1)+(17-1)*7&lt;=$D66,DATE($B$1,1,1)+17*7-1&gt;=$C66),1,""))</f>
        <v/>
      </c>
      <c r="V66" s="10">
        <f>IF(OR($C66="",$D66=""),"",IF(AND(DATE($B$1,1,1)+(18-1)*7&lt;=$D66,DATE($B$1,1,1)+18*7-1&gt;=$C66),1,""))</f>
        <v/>
      </c>
      <c r="W66" s="10">
        <f>IF(OR($C66="",$D66=""),"",IF(AND(DATE($B$1,1,1)+(19-1)*7&lt;=$D66,DATE($B$1,1,1)+19*7-1&gt;=$C66),1,""))</f>
        <v/>
      </c>
      <c r="X66" s="10">
        <f>IF(OR($C66="",$D66=""),"",IF(AND(DATE($B$1,1,1)+(20-1)*7&lt;=$D66,DATE($B$1,1,1)+20*7-1&gt;=$C66),1,""))</f>
        <v/>
      </c>
      <c r="Y66" s="10">
        <f>IF(OR($C66="",$D66=""),"",IF(AND(DATE($B$1,1,1)+(21-1)*7&lt;=$D66,DATE($B$1,1,1)+21*7-1&gt;=$C66),1,""))</f>
        <v/>
      </c>
      <c r="Z66" s="10">
        <f>IF(OR($C66="",$D66=""),"",IF(AND(DATE($B$1,1,1)+(22-1)*7&lt;=$D66,DATE($B$1,1,1)+22*7-1&gt;=$C66),1,""))</f>
        <v/>
      </c>
      <c r="AA66" s="10">
        <f>IF(OR($C66="",$D66=""),"",IF(AND(DATE($B$1,1,1)+(23-1)*7&lt;=$D66,DATE($B$1,1,1)+23*7-1&gt;=$C66),1,""))</f>
        <v/>
      </c>
      <c r="AB66" s="10">
        <f>IF(OR($C66="",$D66=""),"",IF(AND(DATE($B$1,1,1)+(24-1)*7&lt;=$D66,DATE($B$1,1,1)+24*7-1&gt;=$C66),1,""))</f>
        <v/>
      </c>
      <c r="AC66" s="10">
        <f>IF(OR($C66="",$D66=""),"",IF(AND(DATE($B$1,1,1)+(25-1)*7&lt;=$D66,DATE($B$1,1,1)+25*7-1&gt;=$C66),1,""))</f>
        <v/>
      </c>
      <c r="AD66" s="10">
        <f>IF(OR($C66="",$D66=""),"",IF(AND(DATE($B$1,1,1)+(26-1)*7&lt;=$D66,DATE($B$1,1,1)+26*7-1&gt;=$C66),1,""))</f>
        <v/>
      </c>
      <c r="AE66" s="10">
        <f>IF(OR($C66="",$D66=""),"",IF(AND(DATE($B$1,1,1)+(27-1)*7&lt;=$D66,DATE($B$1,1,1)+27*7-1&gt;=$C66),1,""))</f>
        <v/>
      </c>
      <c r="AF66" s="10">
        <f>IF(OR($C66="",$D66=""),"",IF(AND(DATE($B$1,1,1)+(28-1)*7&lt;=$D66,DATE($B$1,1,1)+28*7-1&gt;=$C66),1,""))</f>
        <v/>
      </c>
      <c r="AG66" s="10">
        <f>IF(OR($C66="",$D66=""),"",IF(AND(DATE($B$1,1,1)+(29-1)*7&lt;=$D66,DATE($B$1,1,1)+29*7-1&gt;=$C66),1,""))</f>
        <v/>
      </c>
      <c r="AH66" s="10">
        <f>IF(OR($C66="",$D66=""),"",IF(AND(DATE($B$1,1,1)+(30-1)*7&lt;=$D66,DATE($B$1,1,1)+30*7-1&gt;=$C66),1,""))</f>
        <v/>
      </c>
      <c r="AI66" s="10">
        <f>IF(OR($C66="",$D66=""),"",IF(AND(DATE($B$1,1,1)+(31-1)*7&lt;=$D66,DATE($B$1,1,1)+31*7-1&gt;=$C66),1,""))</f>
        <v/>
      </c>
      <c r="AJ66" s="10">
        <f>IF(OR($C66="",$D66=""),"",IF(AND(DATE($B$1,1,1)+(32-1)*7&lt;=$D66,DATE($B$1,1,1)+32*7-1&gt;=$C66),1,""))</f>
        <v/>
      </c>
      <c r="AK66" s="10">
        <f>IF(OR($C66="",$D66=""),"",IF(AND(DATE($B$1,1,1)+(33-1)*7&lt;=$D66,DATE($B$1,1,1)+33*7-1&gt;=$C66),1,""))</f>
        <v/>
      </c>
      <c r="AL66" s="10">
        <f>IF(OR($C66="",$D66=""),"",IF(AND(DATE($B$1,1,1)+(34-1)*7&lt;=$D66,DATE($B$1,1,1)+34*7-1&gt;=$C66),1,""))</f>
        <v/>
      </c>
      <c r="AM66" s="10">
        <f>IF(OR($C66="",$D66=""),"",IF(AND(DATE($B$1,1,1)+(35-1)*7&lt;=$D66,DATE($B$1,1,1)+35*7-1&gt;=$C66),1,""))</f>
        <v/>
      </c>
      <c r="AN66" s="10">
        <f>IF(OR($C66="",$D66=""),"",IF(AND(DATE($B$1,1,1)+(36-1)*7&lt;=$D66,DATE($B$1,1,1)+36*7-1&gt;=$C66),1,""))</f>
        <v/>
      </c>
      <c r="AO66" s="10">
        <f>IF(OR($C66="",$D66=""),"",IF(AND(DATE($B$1,1,1)+(37-1)*7&lt;=$D66,DATE($B$1,1,1)+37*7-1&gt;=$C66),1,""))</f>
        <v/>
      </c>
      <c r="AP66" s="10">
        <f>IF(OR($C66="",$D66=""),"",IF(AND(DATE($B$1,1,1)+(38-1)*7&lt;=$D66,DATE($B$1,1,1)+38*7-1&gt;=$C66),1,""))</f>
        <v/>
      </c>
      <c r="AQ66" s="10">
        <f>IF(OR($C66="",$D66=""),"",IF(AND(DATE($B$1,1,1)+(39-1)*7&lt;=$D66,DATE($B$1,1,1)+39*7-1&gt;=$C66),1,""))</f>
        <v/>
      </c>
      <c r="AR66" s="10">
        <f>IF(OR($C66="",$D66=""),"",IF(AND(DATE($B$1,1,1)+(40-1)*7&lt;=$D66,DATE($B$1,1,1)+40*7-1&gt;=$C66),1,""))</f>
        <v/>
      </c>
      <c r="AS66" s="10">
        <f>IF(OR($C66="",$D66=""),"",IF(AND(DATE($B$1,1,1)+(41-1)*7&lt;=$D66,DATE($B$1,1,1)+41*7-1&gt;=$C66),1,""))</f>
        <v/>
      </c>
      <c r="AT66" s="10">
        <f>IF(OR($C66="",$D66=""),"",IF(AND(DATE($B$1,1,1)+(42-1)*7&lt;=$D66,DATE($B$1,1,1)+42*7-1&gt;=$C66),1,""))</f>
        <v/>
      </c>
      <c r="AU66" s="10">
        <f>IF(OR($C66="",$D66=""),"",IF(AND(DATE($B$1,1,1)+(43-1)*7&lt;=$D66,DATE($B$1,1,1)+43*7-1&gt;=$C66),1,""))</f>
        <v/>
      </c>
      <c r="AV66" s="10">
        <f>IF(OR($C66="",$D66=""),"",IF(AND(DATE($B$1,1,1)+(44-1)*7&lt;=$D66,DATE($B$1,1,1)+44*7-1&gt;=$C66),1,""))</f>
        <v/>
      </c>
      <c r="AW66" s="10">
        <f>IF(OR($C66="",$D66=""),"",IF(AND(DATE($B$1,1,1)+(45-1)*7&lt;=$D66,DATE($B$1,1,1)+45*7-1&gt;=$C66),1,""))</f>
        <v/>
      </c>
      <c r="AX66" s="10">
        <f>IF(OR($C66="",$D66=""),"",IF(AND(DATE($B$1,1,1)+(46-1)*7&lt;=$D66,DATE($B$1,1,1)+46*7-1&gt;=$C66),1,""))</f>
        <v/>
      </c>
      <c r="AY66" s="10">
        <f>IF(OR($C66="",$D66=""),"",IF(AND(DATE($B$1,1,1)+(47-1)*7&lt;=$D66,DATE($B$1,1,1)+47*7-1&gt;=$C66),1,""))</f>
        <v/>
      </c>
      <c r="AZ66" s="10">
        <f>IF(OR($C66="",$D66=""),"",IF(AND(DATE($B$1,1,1)+(48-1)*7&lt;=$D66,DATE($B$1,1,1)+48*7-1&gt;=$C66),1,""))</f>
        <v/>
      </c>
      <c r="BA66" s="10">
        <f>IF(OR($C66="",$D66=""),"",IF(AND(DATE($B$1,1,1)+(49-1)*7&lt;=$D66,DATE($B$1,1,1)+49*7-1&gt;=$C66),1,""))</f>
        <v/>
      </c>
      <c r="BB66" s="10">
        <f>IF(OR($C66="",$D66=""),"",IF(AND(DATE($B$1,1,1)+(50-1)*7&lt;=$D66,DATE($B$1,1,1)+50*7-1&gt;=$C66),1,""))</f>
        <v/>
      </c>
      <c r="BC66" s="10">
        <f>IF(OR($C66="",$D66=""),"",IF(AND(DATE($B$1,1,1)+(51-1)*7&lt;=$D66,DATE($B$1,1,1)+51*7-1&gt;=$C66),1,""))</f>
        <v/>
      </c>
      <c r="BD66" s="10">
        <f>IF(OR($C66="",$D66=""),"",IF(AND(DATE($B$1,1,1)+(52-1)*7&lt;=$D66,DATE($B$1,1,1)+52*7-1&gt;=$C66),1,""))</f>
        <v/>
      </c>
      <c r="BE66" s="10">
        <f>IF(OR($C66="",$D66=""),"",IF(AND(DATE($B$1,1,1)+(53-1)*7&lt;=$D66,DATE($B$1,1,1)+53*7-1&gt;=$C66),1,""))</f>
        <v/>
      </c>
      <c r="BF66" s="10">
        <f>IF(OR($C66="",$D66=""),"",IF(AND(DATE($B$1,1,1)+(54-1)*7&lt;=$D66,DATE($B$1,1,1)+54*7-1&gt;=$C66),1,""))</f>
        <v/>
      </c>
    </row>
    <row r="67">
      <c r="A67" s="6" t="n"/>
      <c r="B67" s="6" t="n"/>
      <c r="C67" s="11" t="n"/>
      <c r="D67" s="11" t="n"/>
      <c r="E67" s="10">
        <f>IF(OR($C67="",$D67=""),"",IF(AND(DATE($B$1,1,1)+(1-1)*7&lt;=$D67,DATE($B$1,1,1)+1*7-1&gt;=$C67),1,""))</f>
        <v/>
      </c>
      <c r="F67" s="10">
        <f>IF(OR($C67="",$D67=""),"",IF(AND(DATE($B$1,1,1)+(2-1)*7&lt;=$D67,DATE($B$1,1,1)+2*7-1&gt;=$C67),1,""))</f>
        <v/>
      </c>
      <c r="G67" s="10">
        <f>IF(OR($C67="",$D67=""),"",IF(AND(DATE($B$1,1,1)+(3-1)*7&lt;=$D67,DATE($B$1,1,1)+3*7-1&gt;=$C67),1,""))</f>
        <v/>
      </c>
      <c r="H67" s="10">
        <f>IF(OR($C67="",$D67=""),"",IF(AND(DATE($B$1,1,1)+(4-1)*7&lt;=$D67,DATE($B$1,1,1)+4*7-1&gt;=$C67),1,""))</f>
        <v/>
      </c>
      <c r="I67" s="10">
        <f>IF(OR($C67="",$D67=""),"",IF(AND(DATE($B$1,1,1)+(5-1)*7&lt;=$D67,DATE($B$1,1,1)+5*7-1&gt;=$C67),1,""))</f>
        <v/>
      </c>
      <c r="J67" s="10">
        <f>IF(OR($C67="",$D67=""),"",IF(AND(DATE($B$1,1,1)+(6-1)*7&lt;=$D67,DATE($B$1,1,1)+6*7-1&gt;=$C67),1,""))</f>
        <v/>
      </c>
      <c r="K67" s="10">
        <f>IF(OR($C67="",$D67=""),"",IF(AND(DATE($B$1,1,1)+(7-1)*7&lt;=$D67,DATE($B$1,1,1)+7*7-1&gt;=$C67),1,""))</f>
        <v/>
      </c>
      <c r="L67" s="10">
        <f>IF(OR($C67="",$D67=""),"",IF(AND(DATE($B$1,1,1)+(8-1)*7&lt;=$D67,DATE($B$1,1,1)+8*7-1&gt;=$C67),1,""))</f>
        <v/>
      </c>
      <c r="M67" s="10">
        <f>IF(OR($C67="",$D67=""),"",IF(AND(DATE($B$1,1,1)+(9-1)*7&lt;=$D67,DATE($B$1,1,1)+9*7-1&gt;=$C67),1,""))</f>
        <v/>
      </c>
      <c r="N67" s="10">
        <f>IF(OR($C67="",$D67=""),"",IF(AND(DATE($B$1,1,1)+(10-1)*7&lt;=$D67,DATE($B$1,1,1)+10*7-1&gt;=$C67),1,""))</f>
        <v/>
      </c>
      <c r="O67" s="10">
        <f>IF(OR($C67="",$D67=""),"",IF(AND(DATE($B$1,1,1)+(11-1)*7&lt;=$D67,DATE($B$1,1,1)+11*7-1&gt;=$C67),1,""))</f>
        <v/>
      </c>
      <c r="P67" s="10">
        <f>IF(OR($C67="",$D67=""),"",IF(AND(DATE($B$1,1,1)+(12-1)*7&lt;=$D67,DATE($B$1,1,1)+12*7-1&gt;=$C67),1,""))</f>
        <v/>
      </c>
      <c r="Q67" s="10">
        <f>IF(OR($C67="",$D67=""),"",IF(AND(DATE($B$1,1,1)+(13-1)*7&lt;=$D67,DATE($B$1,1,1)+13*7-1&gt;=$C67),1,""))</f>
        <v/>
      </c>
      <c r="R67" s="10">
        <f>IF(OR($C67="",$D67=""),"",IF(AND(DATE($B$1,1,1)+(14-1)*7&lt;=$D67,DATE($B$1,1,1)+14*7-1&gt;=$C67),1,""))</f>
        <v/>
      </c>
      <c r="S67" s="10">
        <f>IF(OR($C67="",$D67=""),"",IF(AND(DATE($B$1,1,1)+(15-1)*7&lt;=$D67,DATE($B$1,1,1)+15*7-1&gt;=$C67),1,""))</f>
        <v/>
      </c>
      <c r="T67" s="10">
        <f>IF(OR($C67="",$D67=""),"",IF(AND(DATE($B$1,1,1)+(16-1)*7&lt;=$D67,DATE($B$1,1,1)+16*7-1&gt;=$C67),1,""))</f>
        <v/>
      </c>
      <c r="U67" s="10">
        <f>IF(OR($C67="",$D67=""),"",IF(AND(DATE($B$1,1,1)+(17-1)*7&lt;=$D67,DATE($B$1,1,1)+17*7-1&gt;=$C67),1,""))</f>
        <v/>
      </c>
      <c r="V67" s="10">
        <f>IF(OR($C67="",$D67=""),"",IF(AND(DATE($B$1,1,1)+(18-1)*7&lt;=$D67,DATE($B$1,1,1)+18*7-1&gt;=$C67),1,""))</f>
        <v/>
      </c>
      <c r="W67" s="10">
        <f>IF(OR($C67="",$D67=""),"",IF(AND(DATE($B$1,1,1)+(19-1)*7&lt;=$D67,DATE($B$1,1,1)+19*7-1&gt;=$C67),1,""))</f>
        <v/>
      </c>
      <c r="X67" s="10">
        <f>IF(OR($C67="",$D67=""),"",IF(AND(DATE($B$1,1,1)+(20-1)*7&lt;=$D67,DATE($B$1,1,1)+20*7-1&gt;=$C67),1,""))</f>
        <v/>
      </c>
      <c r="Y67" s="10">
        <f>IF(OR($C67="",$D67=""),"",IF(AND(DATE($B$1,1,1)+(21-1)*7&lt;=$D67,DATE($B$1,1,1)+21*7-1&gt;=$C67),1,""))</f>
        <v/>
      </c>
      <c r="Z67" s="10">
        <f>IF(OR($C67="",$D67=""),"",IF(AND(DATE($B$1,1,1)+(22-1)*7&lt;=$D67,DATE($B$1,1,1)+22*7-1&gt;=$C67),1,""))</f>
        <v/>
      </c>
      <c r="AA67" s="10">
        <f>IF(OR($C67="",$D67=""),"",IF(AND(DATE($B$1,1,1)+(23-1)*7&lt;=$D67,DATE($B$1,1,1)+23*7-1&gt;=$C67),1,""))</f>
        <v/>
      </c>
      <c r="AB67" s="10">
        <f>IF(OR($C67="",$D67=""),"",IF(AND(DATE($B$1,1,1)+(24-1)*7&lt;=$D67,DATE($B$1,1,1)+24*7-1&gt;=$C67),1,""))</f>
        <v/>
      </c>
      <c r="AC67" s="10">
        <f>IF(OR($C67="",$D67=""),"",IF(AND(DATE($B$1,1,1)+(25-1)*7&lt;=$D67,DATE($B$1,1,1)+25*7-1&gt;=$C67),1,""))</f>
        <v/>
      </c>
      <c r="AD67" s="10">
        <f>IF(OR($C67="",$D67=""),"",IF(AND(DATE($B$1,1,1)+(26-1)*7&lt;=$D67,DATE($B$1,1,1)+26*7-1&gt;=$C67),1,""))</f>
        <v/>
      </c>
      <c r="AE67" s="10">
        <f>IF(OR($C67="",$D67=""),"",IF(AND(DATE($B$1,1,1)+(27-1)*7&lt;=$D67,DATE($B$1,1,1)+27*7-1&gt;=$C67),1,""))</f>
        <v/>
      </c>
      <c r="AF67" s="10">
        <f>IF(OR($C67="",$D67=""),"",IF(AND(DATE($B$1,1,1)+(28-1)*7&lt;=$D67,DATE($B$1,1,1)+28*7-1&gt;=$C67),1,""))</f>
        <v/>
      </c>
      <c r="AG67" s="10">
        <f>IF(OR($C67="",$D67=""),"",IF(AND(DATE($B$1,1,1)+(29-1)*7&lt;=$D67,DATE($B$1,1,1)+29*7-1&gt;=$C67),1,""))</f>
        <v/>
      </c>
      <c r="AH67" s="10">
        <f>IF(OR($C67="",$D67=""),"",IF(AND(DATE($B$1,1,1)+(30-1)*7&lt;=$D67,DATE($B$1,1,1)+30*7-1&gt;=$C67),1,""))</f>
        <v/>
      </c>
      <c r="AI67" s="10">
        <f>IF(OR($C67="",$D67=""),"",IF(AND(DATE($B$1,1,1)+(31-1)*7&lt;=$D67,DATE($B$1,1,1)+31*7-1&gt;=$C67),1,""))</f>
        <v/>
      </c>
      <c r="AJ67" s="10">
        <f>IF(OR($C67="",$D67=""),"",IF(AND(DATE($B$1,1,1)+(32-1)*7&lt;=$D67,DATE($B$1,1,1)+32*7-1&gt;=$C67),1,""))</f>
        <v/>
      </c>
      <c r="AK67" s="10">
        <f>IF(OR($C67="",$D67=""),"",IF(AND(DATE($B$1,1,1)+(33-1)*7&lt;=$D67,DATE($B$1,1,1)+33*7-1&gt;=$C67),1,""))</f>
        <v/>
      </c>
      <c r="AL67" s="10">
        <f>IF(OR($C67="",$D67=""),"",IF(AND(DATE($B$1,1,1)+(34-1)*7&lt;=$D67,DATE($B$1,1,1)+34*7-1&gt;=$C67),1,""))</f>
        <v/>
      </c>
      <c r="AM67" s="10">
        <f>IF(OR($C67="",$D67=""),"",IF(AND(DATE($B$1,1,1)+(35-1)*7&lt;=$D67,DATE($B$1,1,1)+35*7-1&gt;=$C67),1,""))</f>
        <v/>
      </c>
      <c r="AN67" s="10">
        <f>IF(OR($C67="",$D67=""),"",IF(AND(DATE($B$1,1,1)+(36-1)*7&lt;=$D67,DATE($B$1,1,1)+36*7-1&gt;=$C67),1,""))</f>
        <v/>
      </c>
      <c r="AO67" s="10">
        <f>IF(OR($C67="",$D67=""),"",IF(AND(DATE($B$1,1,1)+(37-1)*7&lt;=$D67,DATE($B$1,1,1)+37*7-1&gt;=$C67),1,""))</f>
        <v/>
      </c>
      <c r="AP67" s="10">
        <f>IF(OR($C67="",$D67=""),"",IF(AND(DATE($B$1,1,1)+(38-1)*7&lt;=$D67,DATE($B$1,1,1)+38*7-1&gt;=$C67),1,""))</f>
        <v/>
      </c>
      <c r="AQ67" s="10">
        <f>IF(OR($C67="",$D67=""),"",IF(AND(DATE($B$1,1,1)+(39-1)*7&lt;=$D67,DATE($B$1,1,1)+39*7-1&gt;=$C67),1,""))</f>
        <v/>
      </c>
      <c r="AR67" s="10">
        <f>IF(OR($C67="",$D67=""),"",IF(AND(DATE($B$1,1,1)+(40-1)*7&lt;=$D67,DATE($B$1,1,1)+40*7-1&gt;=$C67),1,""))</f>
        <v/>
      </c>
      <c r="AS67" s="10">
        <f>IF(OR($C67="",$D67=""),"",IF(AND(DATE($B$1,1,1)+(41-1)*7&lt;=$D67,DATE($B$1,1,1)+41*7-1&gt;=$C67),1,""))</f>
        <v/>
      </c>
      <c r="AT67" s="10">
        <f>IF(OR($C67="",$D67=""),"",IF(AND(DATE($B$1,1,1)+(42-1)*7&lt;=$D67,DATE($B$1,1,1)+42*7-1&gt;=$C67),1,""))</f>
        <v/>
      </c>
      <c r="AU67" s="10">
        <f>IF(OR($C67="",$D67=""),"",IF(AND(DATE($B$1,1,1)+(43-1)*7&lt;=$D67,DATE($B$1,1,1)+43*7-1&gt;=$C67),1,""))</f>
        <v/>
      </c>
      <c r="AV67" s="10">
        <f>IF(OR($C67="",$D67=""),"",IF(AND(DATE($B$1,1,1)+(44-1)*7&lt;=$D67,DATE($B$1,1,1)+44*7-1&gt;=$C67),1,""))</f>
        <v/>
      </c>
      <c r="AW67" s="10">
        <f>IF(OR($C67="",$D67=""),"",IF(AND(DATE($B$1,1,1)+(45-1)*7&lt;=$D67,DATE($B$1,1,1)+45*7-1&gt;=$C67),1,""))</f>
        <v/>
      </c>
      <c r="AX67" s="10">
        <f>IF(OR($C67="",$D67=""),"",IF(AND(DATE($B$1,1,1)+(46-1)*7&lt;=$D67,DATE($B$1,1,1)+46*7-1&gt;=$C67),1,""))</f>
        <v/>
      </c>
      <c r="AY67" s="10">
        <f>IF(OR($C67="",$D67=""),"",IF(AND(DATE($B$1,1,1)+(47-1)*7&lt;=$D67,DATE($B$1,1,1)+47*7-1&gt;=$C67),1,""))</f>
        <v/>
      </c>
      <c r="AZ67" s="10">
        <f>IF(OR($C67="",$D67=""),"",IF(AND(DATE($B$1,1,1)+(48-1)*7&lt;=$D67,DATE($B$1,1,1)+48*7-1&gt;=$C67),1,""))</f>
        <v/>
      </c>
      <c r="BA67" s="10">
        <f>IF(OR($C67="",$D67=""),"",IF(AND(DATE($B$1,1,1)+(49-1)*7&lt;=$D67,DATE($B$1,1,1)+49*7-1&gt;=$C67),1,""))</f>
        <v/>
      </c>
      <c r="BB67" s="10">
        <f>IF(OR($C67="",$D67=""),"",IF(AND(DATE($B$1,1,1)+(50-1)*7&lt;=$D67,DATE($B$1,1,1)+50*7-1&gt;=$C67),1,""))</f>
        <v/>
      </c>
      <c r="BC67" s="10">
        <f>IF(OR($C67="",$D67=""),"",IF(AND(DATE($B$1,1,1)+(51-1)*7&lt;=$D67,DATE($B$1,1,1)+51*7-1&gt;=$C67),1,""))</f>
        <v/>
      </c>
      <c r="BD67" s="10">
        <f>IF(OR($C67="",$D67=""),"",IF(AND(DATE($B$1,1,1)+(52-1)*7&lt;=$D67,DATE($B$1,1,1)+52*7-1&gt;=$C67),1,""))</f>
        <v/>
      </c>
      <c r="BE67" s="10">
        <f>IF(OR($C67="",$D67=""),"",IF(AND(DATE($B$1,1,1)+(53-1)*7&lt;=$D67,DATE($B$1,1,1)+53*7-1&gt;=$C67),1,""))</f>
        <v/>
      </c>
      <c r="BF67" s="10">
        <f>IF(OR($C67="",$D67=""),"",IF(AND(DATE($B$1,1,1)+(54-1)*7&lt;=$D67,DATE($B$1,1,1)+54*7-1&gt;=$C67),1,""))</f>
        <v/>
      </c>
    </row>
    <row r="68">
      <c r="A68" s="6" t="n"/>
      <c r="B68" s="6" t="n"/>
      <c r="C68" s="11" t="n"/>
      <c r="D68" s="11" t="n"/>
      <c r="E68" s="10">
        <f>IF(OR($C68="",$D68=""),"",IF(AND(DATE($B$1,1,1)+(1-1)*7&lt;=$D68,DATE($B$1,1,1)+1*7-1&gt;=$C68),1,""))</f>
        <v/>
      </c>
      <c r="F68" s="10">
        <f>IF(OR($C68="",$D68=""),"",IF(AND(DATE($B$1,1,1)+(2-1)*7&lt;=$D68,DATE($B$1,1,1)+2*7-1&gt;=$C68),1,""))</f>
        <v/>
      </c>
      <c r="G68" s="10">
        <f>IF(OR($C68="",$D68=""),"",IF(AND(DATE($B$1,1,1)+(3-1)*7&lt;=$D68,DATE($B$1,1,1)+3*7-1&gt;=$C68),1,""))</f>
        <v/>
      </c>
      <c r="H68" s="10">
        <f>IF(OR($C68="",$D68=""),"",IF(AND(DATE($B$1,1,1)+(4-1)*7&lt;=$D68,DATE($B$1,1,1)+4*7-1&gt;=$C68),1,""))</f>
        <v/>
      </c>
      <c r="I68" s="10">
        <f>IF(OR($C68="",$D68=""),"",IF(AND(DATE($B$1,1,1)+(5-1)*7&lt;=$D68,DATE($B$1,1,1)+5*7-1&gt;=$C68),1,""))</f>
        <v/>
      </c>
      <c r="J68" s="10">
        <f>IF(OR($C68="",$D68=""),"",IF(AND(DATE($B$1,1,1)+(6-1)*7&lt;=$D68,DATE($B$1,1,1)+6*7-1&gt;=$C68),1,""))</f>
        <v/>
      </c>
      <c r="K68" s="10">
        <f>IF(OR($C68="",$D68=""),"",IF(AND(DATE($B$1,1,1)+(7-1)*7&lt;=$D68,DATE($B$1,1,1)+7*7-1&gt;=$C68),1,""))</f>
        <v/>
      </c>
      <c r="L68" s="10">
        <f>IF(OR($C68="",$D68=""),"",IF(AND(DATE($B$1,1,1)+(8-1)*7&lt;=$D68,DATE($B$1,1,1)+8*7-1&gt;=$C68),1,""))</f>
        <v/>
      </c>
      <c r="M68" s="10">
        <f>IF(OR($C68="",$D68=""),"",IF(AND(DATE($B$1,1,1)+(9-1)*7&lt;=$D68,DATE($B$1,1,1)+9*7-1&gt;=$C68),1,""))</f>
        <v/>
      </c>
      <c r="N68" s="10">
        <f>IF(OR($C68="",$D68=""),"",IF(AND(DATE($B$1,1,1)+(10-1)*7&lt;=$D68,DATE($B$1,1,1)+10*7-1&gt;=$C68),1,""))</f>
        <v/>
      </c>
      <c r="O68" s="10">
        <f>IF(OR($C68="",$D68=""),"",IF(AND(DATE($B$1,1,1)+(11-1)*7&lt;=$D68,DATE($B$1,1,1)+11*7-1&gt;=$C68),1,""))</f>
        <v/>
      </c>
      <c r="P68" s="10">
        <f>IF(OR($C68="",$D68=""),"",IF(AND(DATE($B$1,1,1)+(12-1)*7&lt;=$D68,DATE($B$1,1,1)+12*7-1&gt;=$C68),1,""))</f>
        <v/>
      </c>
      <c r="Q68" s="10">
        <f>IF(OR($C68="",$D68=""),"",IF(AND(DATE($B$1,1,1)+(13-1)*7&lt;=$D68,DATE($B$1,1,1)+13*7-1&gt;=$C68),1,""))</f>
        <v/>
      </c>
      <c r="R68" s="10">
        <f>IF(OR($C68="",$D68=""),"",IF(AND(DATE($B$1,1,1)+(14-1)*7&lt;=$D68,DATE($B$1,1,1)+14*7-1&gt;=$C68),1,""))</f>
        <v/>
      </c>
      <c r="S68" s="10">
        <f>IF(OR($C68="",$D68=""),"",IF(AND(DATE($B$1,1,1)+(15-1)*7&lt;=$D68,DATE($B$1,1,1)+15*7-1&gt;=$C68),1,""))</f>
        <v/>
      </c>
      <c r="T68" s="10">
        <f>IF(OR($C68="",$D68=""),"",IF(AND(DATE($B$1,1,1)+(16-1)*7&lt;=$D68,DATE($B$1,1,1)+16*7-1&gt;=$C68),1,""))</f>
        <v/>
      </c>
      <c r="U68" s="10">
        <f>IF(OR($C68="",$D68=""),"",IF(AND(DATE($B$1,1,1)+(17-1)*7&lt;=$D68,DATE($B$1,1,1)+17*7-1&gt;=$C68),1,""))</f>
        <v/>
      </c>
      <c r="V68" s="10">
        <f>IF(OR($C68="",$D68=""),"",IF(AND(DATE($B$1,1,1)+(18-1)*7&lt;=$D68,DATE($B$1,1,1)+18*7-1&gt;=$C68),1,""))</f>
        <v/>
      </c>
      <c r="W68" s="10">
        <f>IF(OR($C68="",$D68=""),"",IF(AND(DATE($B$1,1,1)+(19-1)*7&lt;=$D68,DATE($B$1,1,1)+19*7-1&gt;=$C68),1,""))</f>
        <v/>
      </c>
      <c r="X68" s="10">
        <f>IF(OR($C68="",$D68=""),"",IF(AND(DATE($B$1,1,1)+(20-1)*7&lt;=$D68,DATE($B$1,1,1)+20*7-1&gt;=$C68),1,""))</f>
        <v/>
      </c>
      <c r="Y68" s="10">
        <f>IF(OR($C68="",$D68=""),"",IF(AND(DATE($B$1,1,1)+(21-1)*7&lt;=$D68,DATE($B$1,1,1)+21*7-1&gt;=$C68),1,""))</f>
        <v/>
      </c>
      <c r="Z68" s="10">
        <f>IF(OR($C68="",$D68=""),"",IF(AND(DATE($B$1,1,1)+(22-1)*7&lt;=$D68,DATE($B$1,1,1)+22*7-1&gt;=$C68),1,""))</f>
        <v/>
      </c>
      <c r="AA68" s="10">
        <f>IF(OR($C68="",$D68=""),"",IF(AND(DATE($B$1,1,1)+(23-1)*7&lt;=$D68,DATE($B$1,1,1)+23*7-1&gt;=$C68),1,""))</f>
        <v/>
      </c>
      <c r="AB68" s="10">
        <f>IF(OR($C68="",$D68=""),"",IF(AND(DATE($B$1,1,1)+(24-1)*7&lt;=$D68,DATE($B$1,1,1)+24*7-1&gt;=$C68),1,""))</f>
        <v/>
      </c>
      <c r="AC68" s="10">
        <f>IF(OR($C68="",$D68=""),"",IF(AND(DATE($B$1,1,1)+(25-1)*7&lt;=$D68,DATE($B$1,1,1)+25*7-1&gt;=$C68),1,""))</f>
        <v/>
      </c>
      <c r="AD68" s="10">
        <f>IF(OR($C68="",$D68=""),"",IF(AND(DATE($B$1,1,1)+(26-1)*7&lt;=$D68,DATE($B$1,1,1)+26*7-1&gt;=$C68),1,""))</f>
        <v/>
      </c>
      <c r="AE68" s="10">
        <f>IF(OR($C68="",$D68=""),"",IF(AND(DATE($B$1,1,1)+(27-1)*7&lt;=$D68,DATE($B$1,1,1)+27*7-1&gt;=$C68),1,""))</f>
        <v/>
      </c>
      <c r="AF68" s="10">
        <f>IF(OR($C68="",$D68=""),"",IF(AND(DATE($B$1,1,1)+(28-1)*7&lt;=$D68,DATE($B$1,1,1)+28*7-1&gt;=$C68),1,""))</f>
        <v/>
      </c>
      <c r="AG68" s="10">
        <f>IF(OR($C68="",$D68=""),"",IF(AND(DATE($B$1,1,1)+(29-1)*7&lt;=$D68,DATE($B$1,1,1)+29*7-1&gt;=$C68),1,""))</f>
        <v/>
      </c>
      <c r="AH68" s="10">
        <f>IF(OR($C68="",$D68=""),"",IF(AND(DATE($B$1,1,1)+(30-1)*7&lt;=$D68,DATE($B$1,1,1)+30*7-1&gt;=$C68),1,""))</f>
        <v/>
      </c>
      <c r="AI68" s="10">
        <f>IF(OR($C68="",$D68=""),"",IF(AND(DATE($B$1,1,1)+(31-1)*7&lt;=$D68,DATE($B$1,1,1)+31*7-1&gt;=$C68),1,""))</f>
        <v/>
      </c>
      <c r="AJ68" s="10">
        <f>IF(OR($C68="",$D68=""),"",IF(AND(DATE($B$1,1,1)+(32-1)*7&lt;=$D68,DATE($B$1,1,1)+32*7-1&gt;=$C68),1,""))</f>
        <v/>
      </c>
      <c r="AK68" s="10">
        <f>IF(OR($C68="",$D68=""),"",IF(AND(DATE($B$1,1,1)+(33-1)*7&lt;=$D68,DATE($B$1,1,1)+33*7-1&gt;=$C68),1,""))</f>
        <v/>
      </c>
      <c r="AL68" s="10">
        <f>IF(OR($C68="",$D68=""),"",IF(AND(DATE($B$1,1,1)+(34-1)*7&lt;=$D68,DATE($B$1,1,1)+34*7-1&gt;=$C68),1,""))</f>
        <v/>
      </c>
      <c r="AM68" s="10">
        <f>IF(OR($C68="",$D68=""),"",IF(AND(DATE($B$1,1,1)+(35-1)*7&lt;=$D68,DATE($B$1,1,1)+35*7-1&gt;=$C68),1,""))</f>
        <v/>
      </c>
      <c r="AN68" s="10">
        <f>IF(OR($C68="",$D68=""),"",IF(AND(DATE($B$1,1,1)+(36-1)*7&lt;=$D68,DATE($B$1,1,1)+36*7-1&gt;=$C68),1,""))</f>
        <v/>
      </c>
      <c r="AO68" s="10">
        <f>IF(OR($C68="",$D68=""),"",IF(AND(DATE($B$1,1,1)+(37-1)*7&lt;=$D68,DATE($B$1,1,1)+37*7-1&gt;=$C68),1,""))</f>
        <v/>
      </c>
      <c r="AP68" s="10">
        <f>IF(OR($C68="",$D68=""),"",IF(AND(DATE($B$1,1,1)+(38-1)*7&lt;=$D68,DATE($B$1,1,1)+38*7-1&gt;=$C68),1,""))</f>
        <v/>
      </c>
      <c r="AQ68" s="10">
        <f>IF(OR($C68="",$D68=""),"",IF(AND(DATE($B$1,1,1)+(39-1)*7&lt;=$D68,DATE($B$1,1,1)+39*7-1&gt;=$C68),1,""))</f>
        <v/>
      </c>
      <c r="AR68" s="10">
        <f>IF(OR($C68="",$D68=""),"",IF(AND(DATE($B$1,1,1)+(40-1)*7&lt;=$D68,DATE($B$1,1,1)+40*7-1&gt;=$C68),1,""))</f>
        <v/>
      </c>
      <c r="AS68" s="10">
        <f>IF(OR($C68="",$D68=""),"",IF(AND(DATE($B$1,1,1)+(41-1)*7&lt;=$D68,DATE($B$1,1,1)+41*7-1&gt;=$C68),1,""))</f>
        <v/>
      </c>
      <c r="AT68" s="10">
        <f>IF(OR($C68="",$D68=""),"",IF(AND(DATE($B$1,1,1)+(42-1)*7&lt;=$D68,DATE($B$1,1,1)+42*7-1&gt;=$C68),1,""))</f>
        <v/>
      </c>
      <c r="AU68" s="10">
        <f>IF(OR($C68="",$D68=""),"",IF(AND(DATE($B$1,1,1)+(43-1)*7&lt;=$D68,DATE($B$1,1,1)+43*7-1&gt;=$C68),1,""))</f>
        <v/>
      </c>
      <c r="AV68" s="10">
        <f>IF(OR($C68="",$D68=""),"",IF(AND(DATE($B$1,1,1)+(44-1)*7&lt;=$D68,DATE($B$1,1,1)+44*7-1&gt;=$C68),1,""))</f>
        <v/>
      </c>
      <c r="AW68" s="10">
        <f>IF(OR($C68="",$D68=""),"",IF(AND(DATE($B$1,1,1)+(45-1)*7&lt;=$D68,DATE($B$1,1,1)+45*7-1&gt;=$C68),1,""))</f>
        <v/>
      </c>
      <c r="AX68" s="10">
        <f>IF(OR($C68="",$D68=""),"",IF(AND(DATE($B$1,1,1)+(46-1)*7&lt;=$D68,DATE($B$1,1,1)+46*7-1&gt;=$C68),1,""))</f>
        <v/>
      </c>
      <c r="AY68" s="10">
        <f>IF(OR($C68="",$D68=""),"",IF(AND(DATE($B$1,1,1)+(47-1)*7&lt;=$D68,DATE($B$1,1,1)+47*7-1&gt;=$C68),1,""))</f>
        <v/>
      </c>
      <c r="AZ68" s="10">
        <f>IF(OR($C68="",$D68=""),"",IF(AND(DATE($B$1,1,1)+(48-1)*7&lt;=$D68,DATE($B$1,1,1)+48*7-1&gt;=$C68),1,""))</f>
        <v/>
      </c>
      <c r="BA68" s="10">
        <f>IF(OR($C68="",$D68=""),"",IF(AND(DATE($B$1,1,1)+(49-1)*7&lt;=$D68,DATE($B$1,1,1)+49*7-1&gt;=$C68),1,""))</f>
        <v/>
      </c>
      <c r="BB68" s="10">
        <f>IF(OR($C68="",$D68=""),"",IF(AND(DATE($B$1,1,1)+(50-1)*7&lt;=$D68,DATE($B$1,1,1)+50*7-1&gt;=$C68),1,""))</f>
        <v/>
      </c>
      <c r="BC68" s="10">
        <f>IF(OR($C68="",$D68=""),"",IF(AND(DATE($B$1,1,1)+(51-1)*7&lt;=$D68,DATE($B$1,1,1)+51*7-1&gt;=$C68),1,""))</f>
        <v/>
      </c>
      <c r="BD68" s="10">
        <f>IF(OR($C68="",$D68=""),"",IF(AND(DATE($B$1,1,1)+(52-1)*7&lt;=$D68,DATE($B$1,1,1)+52*7-1&gt;=$C68),1,""))</f>
        <v/>
      </c>
      <c r="BE68" s="10">
        <f>IF(OR($C68="",$D68=""),"",IF(AND(DATE($B$1,1,1)+(53-1)*7&lt;=$D68,DATE($B$1,1,1)+53*7-1&gt;=$C68),1,""))</f>
        <v/>
      </c>
      <c r="BF68" s="10">
        <f>IF(OR($C68="",$D68=""),"",IF(AND(DATE($B$1,1,1)+(54-1)*7&lt;=$D68,DATE($B$1,1,1)+54*7-1&gt;=$C68),1,""))</f>
        <v/>
      </c>
    </row>
    <row r="69">
      <c r="A69" s="6" t="n"/>
      <c r="B69" s="6" t="n"/>
      <c r="C69" s="11" t="n"/>
      <c r="D69" s="11" t="n"/>
      <c r="E69" s="10">
        <f>IF(OR($C69="",$D69=""),"",IF(AND(DATE($B$1,1,1)+(1-1)*7&lt;=$D69,DATE($B$1,1,1)+1*7-1&gt;=$C69),1,""))</f>
        <v/>
      </c>
      <c r="F69" s="10">
        <f>IF(OR($C69="",$D69=""),"",IF(AND(DATE($B$1,1,1)+(2-1)*7&lt;=$D69,DATE($B$1,1,1)+2*7-1&gt;=$C69),1,""))</f>
        <v/>
      </c>
      <c r="G69" s="10">
        <f>IF(OR($C69="",$D69=""),"",IF(AND(DATE($B$1,1,1)+(3-1)*7&lt;=$D69,DATE($B$1,1,1)+3*7-1&gt;=$C69),1,""))</f>
        <v/>
      </c>
      <c r="H69" s="10">
        <f>IF(OR($C69="",$D69=""),"",IF(AND(DATE($B$1,1,1)+(4-1)*7&lt;=$D69,DATE($B$1,1,1)+4*7-1&gt;=$C69),1,""))</f>
        <v/>
      </c>
      <c r="I69" s="10">
        <f>IF(OR($C69="",$D69=""),"",IF(AND(DATE($B$1,1,1)+(5-1)*7&lt;=$D69,DATE($B$1,1,1)+5*7-1&gt;=$C69),1,""))</f>
        <v/>
      </c>
      <c r="J69" s="10">
        <f>IF(OR($C69="",$D69=""),"",IF(AND(DATE($B$1,1,1)+(6-1)*7&lt;=$D69,DATE($B$1,1,1)+6*7-1&gt;=$C69),1,""))</f>
        <v/>
      </c>
      <c r="K69" s="10">
        <f>IF(OR($C69="",$D69=""),"",IF(AND(DATE($B$1,1,1)+(7-1)*7&lt;=$D69,DATE($B$1,1,1)+7*7-1&gt;=$C69),1,""))</f>
        <v/>
      </c>
      <c r="L69" s="10">
        <f>IF(OR($C69="",$D69=""),"",IF(AND(DATE($B$1,1,1)+(8-1)*7&lt;=$D69,DATE($B$1,1,1)+8*7-1&gt;=$C69),1,""))</f>
        <v/>
      </c>
      <c r="M69" s="10">
        <f>IF(OR($C69="",$D69=""),"",IF(AND(DATE($B$1,1,1)+(9-1)*7&lt;=$D69,DATE($B$1,1,1)+9*7-1&gt;=$C69),1,""))</f>
        <v/>
      </c>
      <c r="N69" s="10">
        <f>IF(OR($C69="",$D69=""),"",IF(AND(DATE($B$1,1,1)+(10-1)*7&lt;=$D69,DATE($B$1,1,1)+10*7-1&gt;=$C69),1,""))</f>
        <v/>
      </c>
      <c r="O69" s="10">
        <f>IF(OR($C69="",$D69=""),"",IF(AND(DATE($B$1,1,1)+(11-1)*7&lt;=$D69,DATE($B$1,1,1)+11*7-1&gt;=$C69),1,""))</f>
        <v/>
      </c>
      <c r="P69" s="10">
        <f>IF(OR($C69="",$D69=""),"",IF(AND(DATE($B$1,1,1)+(12-1)*7&lt;=$D69,DATE($B$1,1,1)+12*7-1&gt;=$C69),1,""))</f>
        <v/>
      </c>
      <c r="Q69" s="10">
        <f>IF(OR($C69="",$D69=""),"",IF(AND(DATE($B$1,1,1)+(13-1)*7&lt;=$D69,DATE($B$1,1,1)+13*7-1&gt;=$C69),1,""))</f>
        <v/>
      </c>
      <c r="R69" s="10">
        <f>IF(OR($C69="",$D69=""),"",IF(AND(DATE($B$1,1,1)+(14-1)*7&lt;=$D69,DATE($B$1,1,1)+14*7-1&gt;=$C69),1,""))</f>
        <v/>
      </c>
      <c r="S69" s="10">
        <f>IF(OR($C69="",$D69=""),"",IF(AND(DATE($B$1,1,1)+(15-1)*7&lt;=$D69,DATE($B$1,1,1)+15*7-1&gt;=$C69),1,""))</f>
        <v/>
      </c>
      <c r="T69" s="10">
        <f>IF(OR($C69="",$D69=""),"",IF(AND(DATE($B$1,1,1)+(16-1)*7&lt;=$D69,DATE($B$1,1,1)+16*7-1&gt;=$C69),1,""))</f>
        <v/>
      </c>
      <c r="U69" s="10">
        <f>IF(OR($C69="",$D69=""),"",IF(AND(DATE($B$1,1,1)+(17-1)*7&lt;=$D69,DATE($B$1,1,1)+17*7-1&gt;=$C69),1,""))</f>
        <v/>
      </c>
      <c r="V69" s="10">
        <f>IF(OR($C69="",$D69=""),"",IF(AND(DATE($B$1,1,1)+(18-1)*7&lt;=$D69,DATE($B$1,1,1)+18*7-1&gt;=$C69),1,""))</f>
        <v/>
      </c>
      <c r="W69" s="10">
        <f>IF(OR($C69="",$D69=""),"",IF(AND(DATE($B$1,1,1)+(19-1)*7&lt;=$D69,DATE($B$1,1,1)+19*7-1&gt;=$C69),1,""))</f>
        <v/>
      </c>
      <c r="X69" s="10">
        <f>IF(OR($C69="",$D69=""),"",IF(AND(DATE($B$1,1,1)+(20-1)*7&lt;=$D69,DATE($B$1,1,1)+20*7-1&gt;=$C69),1,""))</f>
        <v/>
      </c>
      <c r="Y69" s="10">
        <f>IF(OR($C69="",$D69=""),"",IF(AND(DATE($B$1,1,1)+(21-1)*7&lt;=$D69,DATE($B$1,1,1)+21*7-1&gt;=$C69),1,""))</f>
        <v/>
      </c>
      <c r="Z69" s="10">
        <f>IF(OR($C69="",$D69=""),"",IF(AND(DATE($B$1,1,1)+(22-1)*7&lt;=$D69,DATE($B$1,1,1)+22*7-1&gt;=$C69),1,""))</f>
        <v/>
      </c>
      <c r="AA69" s="10">
        <f>IF(OR($C69="",$D69=""),"",IF(AND(DATE($B$1,1,1)+(23-1)*7&lt;=$D69,DATE($B$1,1,1)+23*7-1&gt;=$C69),1,""))</f>
        <v/>
      </c>
      <c r="AB69" s="10">
        <f>IF(OR($C69="",$D69=""),"",IF(AND(DATE($B$1,1,1)+(24-1)*7&lt;=$D69,DATE($B$1,1,1)+24*7-1&gt;=$C69),1,""))</f>
        <v/>
      </c>
      <c r="AC69" s="10">
        <f>IF(OR($C69="",$D69=""),"",IF(AND(DATE($B$1,1,1)+(25-1)*7&lt;=$D69,DATE($B$1,1,1)+25*7-1&gt;=$C69),1,""))</f>
        <v/>
      </c>
      <c r="AD69" s="10">
        <f>IF(OR($C69="",$D69=""),"",IF(AND(DATE($B$1,1,1)+(26-1)*7&lt;=$D69,DATE($B$1,1,1)+26*7-1&gt;=$C69),1,""))</f>
        <v/>
      </c>
      <c r="AE69" s="10">
        <f>IF(OR($C69="",$D69=""),"",IF(AND(DATE($B$1,1,1)+(27-1)*7&lt;=$D69,DATE($B$1,1,1)+27*7-1&gt;=$C69),1,""))</f>
        <v/>
      </c>
      <c r="AF69" s="10">
        <f>IF(OR($C69="",$D69=""),"",IF(AND(DATE($B$1,1,1)+(28-1)*7&lt;=$D69,DATE($B$1,1,1)+28*7-1&gt;=$C69),1,""))</f>
        <v/>
      </c>
      <c r="AG69" s="10">
        <f>IF(OR($C69="",$D69=""),"",IF(AND(DATE($B$1,1,1)+(29-1)*7&lt;=$D69,DATE($B$1,1,1)+29*7-1&gt;=$C69),1,""))</f>
        <v/>
      </c>
      <c r="AH69" s="10">
        <f>IF(OR($C69="",$D69=""),"",IF(AND(DATE($B$1,1,1)+(30-1)*7&lt;=$D69,DATE($B$1,1,1)+30*7-1&gt;=$C69),1,""))</f>
        <v/>
      </c>
      <c r="AI69" s="10">
        <f>IF(OR($C69="",$D69=""),"",IF(AND(DATE($B$1,1,1)+(31-1)*7&lt;=$D69,DATE($B$1,1,1)+31*7-1&gt;=$C69),1,""))</f>
        <v/>
      </c>
      <c r="AJ69" s="10">
        <f>IF(OR($C69="",$D69=""),"",IF(AND(DATE($B$1,1,1)+(32-1)*7&lt;=$D69,DATE($B$1,1,1)+32*7-1&gt;=$C69),1,""))</f>
        <v/>
      </c>
      <c r="AK69" s="10">
        <f>IF(OR($C69="",$D69=""),"",IF(AND(DATE($B$1,1,1)+(33-1)*7&lt;=$D69,DATE($B$1,1,1)+33*7-1&gt;=$C69),1,""))</f>
        <v/>
      </c>
      <c r="AL69" s="10">
        <f>IF(OR($C69="",$D69=""),"",IF(AND(DATE($B$1,1,1)+(34-1)*7&lt;=$D69,DATE($B$1,1,1)+34*7-1&gt;=$C69),1,""))</f>
        <v/>
      </c>
      <c r="AM69" s="10">
        <f>IF(OR($C69="",$D69=""),"",IF(AND(DATE($B$1,1,1)+(35-1)*7&lt;=$D69,DATE($B$1,1,1)+35*7-1&gt;=$C69),1,""))</f>
        <v/>
      </c>
      <c r="AN69" s="10">
        <f>IF(OR($C69="",$D69=""),"",IF(AND(DATE($B$1,1,1)+(36-1)*7&lt;=$D69,DATE($B$1,1,1)+36*7-1&gt;=$C69),1,""))</f>
        <v/>
      </c>
      <c r="AO69" s="10">
        <f>IF(OR($C69="",$D69=""),"",IF(AND(DATE($B$1,1,1)+(37-1)*7&lt;=$D69,DATE($B$1,1,1)+37*7-1&gt;=$C69),1,""))</f>
        <v/>
      </c>
      <c r="AP69" s="10">
        <f>IF(OR($C69="",$D69=""),"",IF(AND(DATE($B$1,1,1)+(38-1)*7&lt;=$D69,DATE($B$1,1,1)+38*7-1&gt;=$C69),1,""))</f>
        <v/>
      </c>
      <c r="AQ69" s="10">
        <f>IF(OR($C69="",$D69=""),"",IF(AND(DATE($B$1,1,1)+(39-1)*7&lt;=$D69,DATE($B$1,1,1)+39*7-1&gt;=$C69),1,""))</f>
        <v/>
      </c>
      <c r="AR69" s="10">
        <f>IF(OR($C69="",$D69=""),"",IF(AND(DATE($B$1,1,1)+(40-1)*7&lt;=$D69,DATE($B$1,1,1)+40*7-1&gt;=$C69),1,""))</f>
        <v/>
      </c>
      <c r="AS69" s="10">
        <f>IF(OR($C69="",$D69=""),"",IF(AND(DATE($B$1,1,1)+(41-1)*7&lt;=$D69,DATE($B$1,1,1)+41*7-1&gt;=$C69),1,""))</f>
        <v/>
      </c>
      <c r="AT69" s="10">
        <f>IF(OR($C69="",$D69=""),"",IF(AND(DATE($B$1,1,1)+(42-1)*7&lt;=$D69,DATE($B$1,1,1)+42*7-1&gt;=$C69),1,""))</f>
        <v/>
      </c>
      <c r="AU69" s="10">
        <f>IF(OR($C69="",$D69=""),"",IF(AND(DATE($B$1,1,1)+(43-1)*7&lt;=$D69,DATE($B$1,1,1)+43*7-1&gt;=$C69),1,""))</f>
        <v/>
      </c>
      <c r="AV69" s="10">
        <f>IF(OR($C69="",$D69=""),"",IF(AND(DATE($B$1,1,1)+(44-1)*7&lt;=$D69,DATE($B$1,1,1)+44*7-1&gt;=$C69),1,""))</f>
        <v/>
      </c>
      <c r="AW69" s="10">
        <f>IF(OR($C69="",$D69=""),"",IF(AND(DATE($B$1,1,1)+(45-1)*7&lt;=$D69,DATE($B$1,1,1)+45*7-1&gt;=$C69),1,""))</f>
        <v/>
      </c>
      <c r="AX69" s="10">
        <f>IF(OR($C69="",$D69=""),"",IF(AND(DATE($B$1,1,1)+(46-1)*7&lt;=$D69,DATE($B$1,1,1)+46*7-1&gt;=$C69),1,""))</f>
        <v/>
      </c>
      <c r="AY69" s="10">
        <f>IF(OR($C69="",$D69=""),"",IF(AND(DATE($B$1,1,1)+(47-1)*7&lt;=$D69,DATE($B$1,1,1)+47*7-1&gt;=$C69),1,""))</f>
        <v/>
      </c>
      <c r="AZ69" s="10">
        <f>IF(OR($C69="",$D69=""),"",IF(AND(DATE($B$1,1,1)+(48-1)*7&lt;=$D69,DATE($B$1,1,1)+48*7-1&gt;=$C69),1,""))</f>
        <v/>
      </c>
      <c r="BA69" s="10">
        <f>IF(OR($C69="",$D69=""),"",IF(AND(DATE($B$1,1,1)+(49-1)*7&lt;=$D69,DATE($B$1,1,1)+49*7-1&gt;=$C69),1,""))</f>
        <v/>
      </c>
      <c r="BB69" s="10">
        <f>IF(OR($C69="",$D69=""),"",IF(AND(DATE($B$1,1,1)+(50-1)*7&lt;=$D69,DATE($B$1,1,1)+50*7-1&gt;=$C69),1,""))</f>
        <v/>
      </c>
      <c r="BC69" s="10">
        <f>IF(OR($C69="",$D69=""),"",IF(AND(DATE($B$1,1,1)+(51-1)*7&lt;=$D69,DATE($B$1,1,1)+51*7-1&gt;=$C69),1,""))</f>
        <v/>
      </c>
      <c r="BD69" s="10">
        <f>IF(OR($C69="",$D69=""),"",IF(AND(DATE($B$1,1,1)+(52-1)*7&lt;=$D69,DATE($B$1,1,1)+52*7-1&gt;=$C69),1,""))</f>
        <v/>
      </c>
      <c r="BE69" s="10">
        <f>IF(OR($C69="",$D69=""),"",IF(AND(DATE($B$1,1,1)+(53-1)*7&lt;=$D69,DATE($B$1,1,1)+53*7-1&gt;=$C69),1,""))</f>
        <v/>
      </c>
      <c r="BF69" s="10">
        <f>IF(OR($C69="",$D69=""),"",IF(AND(DATE($B$1,1,1)+(54-1)*7&lt;=$D69,DATE($B$1,1,1)+54*7-1&gt;=$C69),1,""))</f>
        <v/>
      </c>
    </row>
    <row r="70">
      <c r="A70" s="6" t="n"/>
      <c r="B70" s="6" t="n"/>
      <c r="C70" s="11" t="n"/>
      <c r="D70" s="11" t="n"/>
      <c r="E70" s="10">
        <f>IF(OR($C70="",$D70=""),"",IF(AND(DATE($B$1,1,1)+(1-1)*7&lt;=$D70,DATE($B$1,1,1)+1*7-1&gt;=$C70),1,""))</f>
        <v/>
      </c>
      <c r="F70" s="10">
        <f>IF(OR($C70="",$D70=""),"",IF(AND(DATE($B$1,1,1)+(2-1)*7&lt;=$D70,DATE($B$1,1,1)+2*7-1&gt;=$C70),1,""))</f>
        <v/>
      </c>
      <c r="G70" s="10">
        <f>IF(OR($C70="",$D70=""),"",IF(AND(DATE($B$1,1,1)+(3-1)*7&lt;=$D70,DATE($B$1,1,1)+3*7-1&gt;=$C70),1,""))</f>
        <v/>
      </c>
      <c r="H70" s="10">
        <f>IF(OR($C70="",$D70=""),"",IF(AND(DATE($B$1,1,1)+(4-1)*7&lt;=$D70,DATE($B$1,1,1)+4*7-1&gt;=$C70),1,""))</f>
        <v/>
      </c>
      <c r="I70" s="10">
        <f>IF(OR($C70="",$D70=""),"",IF(AND(DATE($B$1,1,1)+(5-1)*7&lt;=$D70,DATE($B$1,1,1)+5*7-1&gt;=$C70),1,""))</f>
        <v/>
      </c>
      <c r="J70" s="10">
        <f>IF(OR($C70="",$D70=""),"",IF(AND(DATE($B$1,1,1)+(6-1)*7&lt;=$D70,DATE($B$1,1,1)+6*7-1&gt;=$C70),1,""))</f>
        <v/>
      </c>
      <c r="K70" s="10">
        <f>IF(OR($C70="",$D70=""),"",IF(AND(DATE($B$1,1,1)+(7-1)*7&lt;=$D70,DATE($B$1,1,1)+7*7-1&gt;=$C70),1,""))</f>
        <v/>
      </c>
      <c r="L70" s="10">
        <f>IF(OR($C70="",$D70=""),"",IF(AND(DATE($B$1,1,1)+(8-1)*7&lt;=$D70,DATE($B$1,1,1)+8*7-1&gt;=$C70),1,""))</f>
        <v/>
      </c>
      <c r="M70" s="10">
        <f>IF(OR($C70="",$D70=""),"",IF(AND(DATE($B$1,1,1)+(9-1)*7&lt;=$D70,DATE($B$1,1,1)+9*7-1&gt;=$C70),1,""))</f>
        <v/>
      </c>
      <c r="N70" s="10">
        <f>IF(OR($C70="",$D70=""),"",IF(AND(DATE($B$1,1,1)+(10-1)*7&lt;=$D70,DATE($B$1,1,1)+10*7-1&gt;=$C70),1,""))</f>
        <v/>
      </c>
      <c r="O70" s="10">
        <f>IF(OR($C70="",$D70=""),"",IF(AND(DATE($B$1,1,1)+(11-1)*7&lt;=$D70,DATE($B$1,1,1)+11*7-1&gt;=$C70),1,""))</f>
        <v/>
      </c>
      <c r="P70" s="10">
        <f>IF(OR($C70="",$D70=""),"",IF(AND(DATE($B$1,1,1)+(12-1)*7&lt;=$D70,DATE($B$1,1,1)+12*7-1&gt;=$C70),1,""))</f>
        <v/>
      </c>
      <c r="Q70" s="10">
        <f>IF(OR($C70="",$D70=""),"",IF(AND(DATE($B$1,1,1)+(13-1)*7&lt;=$D70,DATE($B$1,1,1)+13*7-1&gt;=$C70),1,""))</f>
        <v/>
      </c>
      <c r="R70" s="10">
        <f>IF(OR($C70="",$D70=""),"",IF(AND(DATE($B$1,1,1)+(14-1)*7&lt;=$D70,DATE($B$1,1,1)+14*7-1&gt;=$C70),1,""))</f>
        <v/>
      </c>
      <c r="S70" s="10">
        <f>IF(OR($C70="",$D70=""),"",IF(AND(DATE($B$1,1,1)+(15-1)*7&lt;=$D70,DATE($B$1,1,1)+15*7-1&gt;=$C70),1,""))</f>
        <v/>
      </c>
      <c r="T70" s="10">
        <f>IF(OR($C70="",$D70=""),"",IF(AND(DATE($B$1,1,1)+(16-1)*7&lt;=$D70,DATE($B$1,1,1)+16*7-1&gt;=$C70),1,""))</f>
        <v/>
      </c>
      <c r="U70" s="10">
        <f>IF(OR($C70="",$D70=""),"",IF(AND(DATE($B$1,1,1)+(17-1)*7&lt;=$D70,DATE($B$1,1,1)+17*7-1&gt;=$C70),1,""))</f>
        <v/>
      </c>
      <c r="V70" s="10">
        <f>IF(OR($C70="",$D70=""),"",IF(AND(DATE($B$1,1,1)+(18-1)*7&lt;=$D70,DATE($B$1,1,1)+18*7-1&gt;=$C70),1,""))</f>
        <v/>
      </c>
      <c r="W70" s="10">
        <f>IF(OR($C70="",$D70=""),"",IF(AND(DATE($B$1,1,1)+(19-1)*7&lt;=$D70,DATE($B$1,1,1)+19*7-1&gt;=$C70),1,""))</f>
        <v/>
      </c>
      <c r="X70" s="10">
        <f>IF(OR($C70="",$D70=""),"",IF(AND(DATE($B$1,1,1)+(20-1)*7&lt;=$D70,DATE($B$1,1,1)+20*7-1&gt;=$C70),1,""))</f>
        <v/>
      </c>
      <c r="Y70" s="10">
        <f>IF(OR($C70="",$D70=""),"",IF(AND(DATE($B$1,1,1)+(21-1)*7&lt;=$D70,DATE($B$1,1,1)+21*7-1&gt;=$C70),1,""))</f>
        <v/>
      </c>
      <c r="Z70" s="10">
        <f>IF(OR($C70="",$D70=""),"",IF(AND(DATE($B$1,1,1)+(22-1)*7&lt;=$D70,DATE($B$1,1,1)+22*7-1&gt;=$C70),1,""))</f>
        <v/>
      </c>
      <c r="AA70" s="10">
        <f>IF(OR($C70="",$D70=""),"",IF(AND(DATE($B$1,1,1)+(23-1)*7&lt;=$D70,DATE($B$1,1,1)+23*7-1&gt;=$C70),1,""))</f>
        <v/>
      </c>
      <c r="AB70" s="10">
        <f>IF(OR($C70="",$D70=""),"",IF(AND(DATE($B$1,1,1)+(24-1)*7&lt;=$D70,DATE($B$1,1,1)+24*7-1&gt;=$C70),1,""))</f>
        <v/>
      </c>
      <c r="AC70" s="10">
        <f>IF(OR($C70="",$D70=""),"",IF(AND(DATE($B$1,1,1)+(25-1)*7&lt;=$D70,DATE($B$1,1,1)+25*7-1&gt;=$C70),1,""))</f>
        <v/>
      </c>
      <c r="AD70" s="10">
        <f>IF(OR($C70="",$D70=""),"",IF(AND(DATE($B$1,1,1)+(26-1)*7&lt;=$D70,DATE($B$1,1,1)+26*7-1&gt;=$C70),1,""))</f>
        <v/>
      </c>
      <c r="AE70" s="10">
        <f>IF(OR($C70="",$D70=""),"",IF(AND(DATE($B$1,1,1)+(27-1)*7&lt;=$D70,DATE($B$1,1,1)+27*7-1&gt;=$C70),1,""))</f>
        <v/>
      </c>
      <c r="AF70" s="10">
        <f>IF(OR($C70="",$D70=""),"",IF(AND(DATE($B$1,1,1)+(28-1)*7&lt;=$D70,DATE($B$1,1,1)+28*7-1&gt;=$C70),1,""))</f>
        <v/>
      </c>
      <c r="AG70" s="10">
        <f>IF(OR($C70="",$D70=""),"",IF(AND(DATE($B$1,1,1)+(29-1)*7&lt;=$D70,DATE($B$1,1,1)+29*7-1&gt;=$C70),1,""))</f>
        <v/>
      </c>
      <c r="AH70" s="10">
        <f>IF(OR($C70="",$D70=""),"",IF(AND(DATE($B$1,1,1)+(30-1)*7&lt;=$D70,DATE($B$1,1,1)+30*7-1&gt;=$C70),1,""))</f>
        <v/>
      </c>
      <c r="AI70" s="10">
        <f>IF(OR($C70="",$D70=""),"",IF(AND(DATE($B$1,1,1)+(31-1)*7&lt;=$D70,DATE($B$1,1,1)+31*7-1&gt;=$C70),1,""))</f>
        <v/>
      </c>
      <c r="AJ70" s="10">
        <f>IF(OR($C70="",$D70=""),"",IF(AND(DATE($B$1,1,1)+(32-1)*7&lt;=$D70,DATE($B$1,1,1)+32*7-1&gt;=$C70),1,""))</f>
        <v/>
      </c>
      <c r="AK70" s="10">
        <f>IF(OR($C70="",$D70=""),"",IF(AND(DATE($B$1,1,1)+(33-1)*7&lt;=$D70,DATE($B$1,1,1)+33*7-1&gt;=$C70),1,""))</f>
        <v/>
      </c>
      <c r="AL70" s="10">
        <f>IF(OR($C70="",$D70=""),"",IF(AND(DATE($B$1,1,1)+(34-1)*7&lt;=$D70,DATE($B$1,1,1)+34*7-1&gt;=$C70),1,""))</f>
        <v/>
      </c>
      <c r="AM70" s="10">
        <f>IF(OR($C70="",$D70=""),"",IF(AND(DATE($B$1,1,1)+(35-1)*7&lt;=$D70,DATE($B$1,1,1)+35*7-1&gt;=$C70),1,""))</f>
        <v/>
      </c>
      <c r="AN70" s="10">
        <f>IF(OR($C70="",$D70=""),"",IF(AND(DATE($B$1,1,1)+(36-1)*7&lt;=$D70,DATE($B$1,1,1)+36*7-1&gt;=$C70),1,""))</f>
        <v/>
      </c>
      <c r="AO70" s="10">
        <f>IF(OR($C70="",$D70=""),"",IF(AND(DATE($B$1,1,1)+(37-1)*7&lt;=$D70,DATE($B$1,1,1)+37*7-1&gt;=$C70),1,""))</f>
        <v/>
      </c>
      <c r="AP70" s="10">
        <f>IF(OR($C70="",$D70=""),"",IF(AND(DATE($B$1,1,1)+(38-1)*7&lt;=$D70,DATE($B$1,1,1)+38*7-1&gt;=$C70),1,""))</f>
        <v/>
      </c>
      <c r="AQ70" s="10">
        <f>IF(OR($C70="",$D70=""),"",IF(AND(DATE($B$1,1,1)+(39-1)*7&lt;=$D70,DATE($B$1,1,1)+39*7-1&gt;=$C70),1,""))</f>
        <v/>
      </c>
      <c r="AR70" s="10">
        <f>IF(OR($C70="",$D70=""),"",IF(AND(DATE($B$1,1,1)+(40-1)*7&lt;=$D70,DATE($B$1,1,1)+40*7-1&gt;=$C70),1,""))</f>
        <v/>
      </c>
      <c r="AS70" s="10">
        <f>IF(OR($C70="",$D70=""),"",IF(AND(DATE($B$1,1,1)+(41-1)*7&lt;=$D70,DATE($B$1,1,1)+41*7-1&gt;=$C70),1,""))</f>
        <v/>
      </c>
      <c r="AT70" s="10">
        <f>IF(OR($C70="",$D70=""),"",IF(AND(DATE($B$1,1,1)+(42-1)*7&lt;=$D70,DATE($B$1,1,1)+42*7-1&gt;=$C70),1,""))</f>
        <v/>
      </c>
      <c r="AU70" s="10">
        <f>IF(OR($C70="",$D70=""),"",IF(AND(DATE($B$1,1,1)+(43-1)*7&lt;=$D70,DATE($B$1,1,1)+43*7-1&gt;=$C70),1,""))</f>
        <v/>
      </c>
      <c r="AV70" s="10">
        <f>IF(OR($C70="",$D70=""),"",IF(AND(DATE($B$1,1,1)+(44-1)*7&lt;=$D70,DATE($B$1,1,1)+44*7-1&gt;=$C70),1,""))</f>
        <v/>
      </c>
      <c r="AW70" s="10">
        <f>IF(OR($C70="",$D70=""),"",IF(AND(DATE($B$1,1,1)+(45-1)*7&lt;=$D70,DATE($B$1,1,1)+45*7-1&gt;=$C70),1,""))</f>
        <v/>
      </c>
      <c r="AX70" s="10">
        <f>IF(OR($C70="",$D70=""),"",IF(AND(DATE($B$1,1,1)+(46-1)*7&lt;=$D70,DATE($B$1,1,1)+46*7-1&gt;=$C70),1,""))</f>
        <v/>
      </c>
      <c r="AY70" s="10">
        <f>IF(OR($C70="",$D70=""),"",IF(AND(DATE($B$1,1,1)+(47-1)*7&lt;=$D70,DATE($B$1,1,1)+47*7-1&gt;=$C70),1,""))</f>
        <v/>
      </c>
      <c r="AZ70" s="10">
        <f>IF(OR($C70="",$D70=""),"",IF(AND(DATE($B$1,1,1)+(48-1)*7&lt;=$D70,DATE($B$1,1,1)+48*7-1&gt;=$C70),1,""))</f>
        <v/>
      </c>
      <c r="BA70" s="10">
        <f>IF(OR($C70="",$D70=""),"",IF(AND(DATE($B$1,1,1)+(49-1)*7&lt;=$D70,DATE($B$1,1,1)+49*7-1&gt;=$C70),1,""))</f>
        <v/>
      </c>
      <c r="BB70" s="10">
        <f>IF(OR($C70="",$D70=""),"",IF(AND(DATE($B$1,1,1)+(50-1)*7&lt;=$D70,DATE($B$1,1,1)+50*7-1&gt;=$C70),1,""))</f>
        <v/>
      </c>
      <c r="BC70" s="10">
        <f>IF(OR($C70="",$D70=""),"",IF(AND(DATE($B$1,1,1)+(51-1)*7&lt;=$D70,DATE($B$1,1,1)+51*7-1&gt;=$C70),1,""))</f>
        <v/>
      </c>
      <c r="BD70" s="10">
        <f>IF(OR($C70="",$D70=""),"",IF(AND(DATE($B$1,1,1)+(52-1)*7&lt;=$D70,DATE($B$1,1,1)+52*7-1&gt;=$C70),1,""))</f>
        <v/>
      </c>
      <c r="BE70" s="10">
        <f>IF(OR($C70="",$D70=""),"",IF(AND(DATE($B$1,1,1)+(53-1)*7&lt;=$D70,DATE($B$1,1,1)+53*7-1&gt;=$C70),1,""))</f>
        <v/>
      </c>
      <c r="BF70" s="10">
        <f>IF(OR($C70="",$D70=""),"",IF(AND(DATE($B$1,1,1)+(54-1)*7&lt;=$D70,DATE($B$1,1,1)+54*7-1&gt;=$C70),1,""))</f>
        <v/>
      </c>
    </row>
    <row r="71">
      <c r="A71" s="6" t="n"/>
      <c r="B71" s="6" t="n"/>
      <c r="C71" s="11" t="n"/>
      <c r="D71" s="11" t="n"/>
      <c r="E71" s="10">
        <f>IF(OR($C71="",$D71=""),"",IF(AND(DATE($B$1,1,1)+(1-1)*7&lt;=$D71,DATE($B$1,1,1)+1*7-1&gt;=$C71),1,""))</f>
        <v/>
      </c>
      <c r="F71" s="10">
        <f>IF(OR($C71="",$D71=""),"",IF(AND(DATE($B$1,1,1)+(2-1)*7&lt;=$D71,DATE($B$1,1,1)+2*7-1&gt;=$C71),1,""))</f>
        <v/>
      </c>
      <c r="G71" s="10">
        <f>IF(OR($C71="",$D71=""),"",IF(AND(DATE($B$1,1,1)+(3-1)*7&lt;=$D71,DATE($B$1,1,1)+3*7-1&gt;=$C71),1,""))</f>
        <v/>
      </c>
      <c r="H71" s="10">
        <f>IF(OR($C71="",$D71=""),"",IF(AND(DATE($B$1,1,1)+(4-1)*7&lt;=$D71,DATE($B$1,1,1)+4*7-1&gt;=$C71),1,""))</f>
        <v/>
      </c>
      <c r="I71" s="10">
        <f>IF(OR($C71="",$D71=""),"",IF(AND(DATE($B$1,1,1)+(5-1)*7&lt;=$D71,DATE($B$1,1,1)+5*7-1&gt;=$C71),1,""))</f>
        <v/>
      </c>
      <c r="J71" s="10">
        <f>IF(OR($C71="",$D71=""),"",IF(AND(DATE($B$1,1,1)+(6-1)*7&lt;=$D71,DATE($B$1,1,1)+6*7-1&gt;=$C71),1,""))</f>
        <v/>
      </c>
      <c r="K71" s="10">
        <f>IF(OR($C71="",$D71=""),"",IF(AND(DATE($B$1,1,1)+(7-1)*7&lt;=$D71,DATE($B$1,1,1)+7*7-1&gt;=$C71),1,""))</f>
        <v/>
      </c>
      <c r="L71" s="10">
        <f>IF(OR($C71="",$D71=""),"",IF(AND(DATE($B$1,1,1)+(8-1)*7&lt;=$D71,DATE($B$1,1,1)+8*7-1&gt;=$C71),1,""))</f>
        <v/>
      </c>
      <c r="M71" s="10">
        <f>IF(OR($C71="",$D71=""),"",IF(AND(DATE($B$1,1,1)+(9-1)*7&lt;=$D71,DATE($B$1,1,1)+9*7-1&gt;=$C71),1,""))</f>
        <v/>
      </c>
      <c r="N71" s="10">
        <f>IF(OR($C71="",$D71=""),"",IF(AND(DATE($B$1,1,1)+(10-1)*7&lt;=$D71,DATE($B$1,1,1)+10*7-1&gt;=$C71),1,""))</f>
        <v/>
      </c>
      <c r="O71" s="10">
        <f>IF(OR($C71="",$D71=""),"",IF(AND(DATE($B$1,1,1)+(11-1)*7&lt;=$D71,DATE($B$1,1,1)+11*7-1&gt;=$C71),1,""))</f>
        <v/>
      </c>
      <c r="P71" s="10">
        <f>IF(OR($C71="",$D71=""),"",IF(AND(DATE($B$1,1,1)+(12-1)*7&lt;=$D71,DATE($B$1,1,1)+12*7-1&gt;=$C71),1,""))</f>
        <v/>
      </c>
      <c r="Q71" s="10">
        <f>IF(OR($C71="",$D71=""),"",IF(AND(DATE($B$1,1,1)+(13-1)*7&lt;=$D71,DATE($B$1,1,1)+13*7-1&gt;=$C71),1,""))</f>
        <v/>
      </c>
      <c r="R71" s="10">
        <f>IF(OR($C71="",$D71=""),"",IF(AND(DATE($B$1,1,1)+(14-1)*7&lt;=$D71,DATE($B$1,1,1)+14*7-1&gt;=$C71),1,""))</f>
        <v/>
      </c>
      <c r="S71" s="10">
        <f>IF(OR($C71="",$D71=""),"",IF(AND(DATE($B$1,1,1)+(15-1)*7&lt;=$D71,DATE($B$1,1,1)+15*7-1&gt;=$C71),1,""))</f>
        <v/>
      </c>
      <c r="T71" s="10">
        <f>IF(OR($C71="",$D71=""),"",IF(AND(DATE($B$1,1,1)+(16-1)*7&lt;=$D71,DATE($B$1,1,1)+16*7-1&gt;=$C71),1,""))</f>
        <v/>
      </c>
      <c r="U71" s="10">
        <f>IF(OR($C71="",$D71=""),"",IF(AND(DATE($B$1,1,1)+(17-1)*7&lt;=$D71,DATE($B$1,1,1)+17*7-1&gt;=$C71),1,""))</f>
        <v/>
      </c>
      <c r="V71" s="10">
        <f>IF(OR($C71="",$D71=""),"",IF(AND(DATE($B$1,1,1)+(18-1)*7&lt;=$D71,DATE($B$1,1,1)+18*7-1&gt;=$C71),1,""))</f>
        <v/>
      </c>
      <c r="W71" s="10">
        <f>IF(OR($C71="",$D71=""),"",IF(AND(DATE($B$1,1,1)+(19-1)*7&lt;=$D71,DATE($B$1,1,1)+19*7-1&gt;=$C71),1,""))</f>
        <v/>
      </c>
      <c r="X71" s="10">
        <f>IF(OR($C71="",$D71=""),"",IF(AND(DATE($B$1,1,1)+(20-1)*7&lt;=$D71,DATE($B$1,1,1)+20*7-1&gt;=$C71),1,""))</f>
        <v/>
      </c>
      <c r="Y71" s="10">
        <f>IF(OR($C71="",$D71=""),"",IF(AND(DATE($B$1,1,1)+(21-1)*7&lt;=$D71,DATE($B$1,1,1)+21*7-1&gt;=$C71),1,""))</f>
        <v/>
      </c>
      <c r="Z71" s="10">
        <f>IF(OR($C71="",$D71=""),"",IF(AND(DATE($B$1,1,1)+(22-1)*7&lt;=$D71,DATE($B$1,1,1)+22*7-1&gt;=$C71),1,""))</f>
        <v/>
      </c>
      <c r="AA71" s="10">
        <f>IF(OR($C71="",$D71=""),"",IF(AND(DATE($B$1,1,1)+(23-1)*7&lt;=$D71,DATE($B$1,1,1)+23*7-1&gt;=$C71),1,""))</f>
        <v/>
      </c>
      <c r="AB71" s="10">
        <f>IF(OR($C71="",$D71=""),"",IF(AND(DATE($B$1,1,1)+(24-1)*7&lt;=$D71,DATE($B$1,1,1)+24*7-1&gt;=$C71),1,""))</f>
        <v/>
      </c>
      <c r="AC71" s="10">
        <f>IF(OR($C71="",$D71=""),"",IF(AND(DATE($B$1,1,1)+(25-1)*7&lt;=$D71,DATE($B$1,1,1)+25*7-1&gt;=$C71),1,""))</f>
        <v/>
      </c>
      <c r="AD71" s="10">
        <f>IF(OR($C71="",$D71=""),"",IF(AND(DATE($B$1,1,1)+(26-1)*7&lt;=$D71,DATE($B$1,1,1)+26*7-1&gt;=$C71),1,""))</f>
        <v/>
      </c>
      <c r="AE71" s="10">
        <f>IF(OR($C71="",$D71=""),"",IF(AND(DATE($B$1,1,1)+(27-1)*7&lt;=$D71,DATE($B$1,1,1)+27*7-1&gt;=$C71),1,""))</f>
        <v/>
      </c>
      <c r="AF71" s="10">
        <f>IF(OR($C71="",$D71=""),"",IF(AND(DATE($B$1,1,1)+(28-1)*7&lt;=$D71,DATE($B$1,1,1)+28*7-1&gt;=$C71),1,""))</f>
        <v/>
      </c>
      <c r="AG71" s="10">
        <f>IF(OR($C71="",$D71=""),"",IF(AND(DATE($B$1,1,1)+(29-1)*7&lt;=$D71,DATE($B$1,1,1)+29*7-1&gt;=$C71),1,""))</f>
        <v/>
      </c>
      <c r="AH71" s="10">
        <f>IF(OR($C71="",$D71=""),"",IF(AND(DATE($B$1,1,1)+(30-1)*7&lt;=$D71,DATE($B$1,1,1)+30*7-1&gt;=$C71),1,""))</f>
        <v/>
      </c>
      <c r="AI71" s="10">
        <f>IF(OR($C71="",$D71=""),"",IF(AND(DATE($B$1,1,1)+(31-1)*7&lt;=$D71,DATE($B$1,1,1)+31*7-1&gt;=$C71),1,""))</f>
        <v/>
      </c>
      <c r="AJ71" s="10">
        <f>IF(OR($C71="",$D71=""),"",IF(AND(DATE($B$1,1,1)+(32-1)*7&lt;=$D71,DATE($B$1,1,1)+32*7-1&gt;=$C71),1,""))</f>
        <v/>
      </c>
      <c r="AK71" s="10">
        <f>IF(OR($C71="",$D71=""),"",IF(AND(DATE($B$1,1,1)+(33-1)*7&lt;=$D71,DATE($B$1,1,1)+33*7-1&gt;=$C71),1,""))</f>
        <v/>
      </c>
      <c r="AL71" s="10">
        <f>IF(OR($C71="",$D71=""),"",IF(AND(DATE($B$1,1,1)+(34-1)*7&lt;=$D71,DATE($B$1,1,1)+34*7-1&gt;=$C71),1,""))</f>
        <v/>
      </c>
      <c r="AM71" s="10">
        <f>IF(OR($C71="",$D71=""),"",IF(AND(DATE($B$1,1,1)+(35-1)*7&lt;=$D71,DATE($B$1,1,1)+35*7-1&gt;=$C71),1,""))</f>
        <v/>
      </c>
      <c r="AN71" s="10">
        <f>IF(OR($C71="",$D71=""),"",IF(AND(DATE($B$1,1,1)+(36-1)*7&lt;=$D71,DATE($B$1,1,1)+36*7-1&gt;=$C71),1,""))</f>
        <v/>
      </c>
      <c r="AO71" s="10">
        <f>IF(OR($C71="",$D71=""),"",IF(AND(DATE($B$1,1,1)+(37-1)*7&lt;=$D71,DATE($B$1,1,1)+37*7-1&gt;=$C71),1,""))</f>
        <v/>
      </c>
      <c r="AP71" s="10">
        <f>IF(OR($C71="",$D71=""),"",IF(AND(DATE($B$1,1,1)+(38-1)*7&lt;=$D71,DATE($B$1,1,1)+38*7-1&gt;=$C71),1,""))</f>
        <v/>
      </c>
      <c r="AQ71" s="10">
        <f>IF(OR($C71="",$D71=""),"",IF(AND(DATE($B$1,1,1)+(39-1)*7&lt;=$D71,DATE($B$1,1,1)+39*7-1&gt;=$C71),1,""))</f>
        <v/>
      </c>
      <c r="AR71" s="10">
        <f>IF(OR($C71="",$D71=""),"",IF(AND(DATE($B$1,1,1)+(40-1)*7&lt;=$D71,DATE($B$1,1,1)+40*7-1&gt;=$C71),1,""))</f>
        <v/>
      </c>
      <c r="AS71" s="10">
        <f>IF(OR($C71="",$D71=""),"",IF(AND(DATE($B$1,1,1)+(41-1)*7&lt;=$D71,DATE($B$1,1,1)+41*7-1&gt;=$C71),1,""))</f>
        <v/>
      </c>
      <c r="AT71" s="10">
        <f>IF(OR($C71="",$D71=""),"",IF(AND(DATE($B$1,1,1)+(42-1)*7&lt;=$D71,DATE($B$1,1,1)+42*7-1&gt;=$C71),1,""))</f>
        <v/>
      </c>
      <c r="AU71" s="10">
        <f>IF(OR($C71="",$D71=""),"",IF(AND(DATE($B$1,1,1)+(43-1)*7&lt;=$D71,DATE($B$1,1,1)+43*7-1&gt;=$C71),1,""))</f>
        <v/>
      </c>
      <c r="AV71" s="10">
        <f>IF(OR($C71="",$D71=""),"",IF(AND(DATE($B$1,1,1)+(44-1)*7&lt;=$D71,DATE($B$1,1,1)+44*7-1&gt;=$C71),1,""))</f>
        <v/>
      </c>
      <c r="AW71" s="10">
        <f>IF(OR($C71="",$D71=""),"",IF(AND(DATE($B$1,1,1)+(45-1)*7&lt;=$D71,DATE($B$1,1,1)+45*7-1&gt;=$C71),1,""))</f>
        <v/>
      </c>
      <c r="AX71" s="10">
        <f>IF(OR($C71="",$D71=""),"",IF(AND(DATE($B$1,1,1)+(46-1)*7&lt;=$D71,DATE($B$1,1,1)+46*7-1&gt;=$C71),1,""))</f>
        <v/>
      </c>
      <c r="AY71" s="10">
        <f>IF(OR($C71="",$D71=""),"",IF(AND(DATE($B$1,1,1)+(47-1)*7&lt;=$D71,DATE($B$1,1,1)+47*7-1&gt;=$C71),1,""))</f>
        <v/>
      </c>
      <c r="AZ71" s="10">
        <f>IF(OR($C71="",$D71=""),"",IF(AND(DATE($B$1,1,1)+(48-1)*7&lt;=$D71,DATE($B$1,1,1)+48*7-1&gt;=$C71),1,""))</f>
        <v/>
      </c>
      <c r="BA71" s="10">
        <f>IF(OR($C71="",$D71=""),"",IF(AND(DATE($B$1,1,1)+(49-1)*7&lt;=$D71,DATE($B$1,1,1)+49*7-1&gt;=$C71),1,""))</f>
        <v/>
      </c>
      <c r="BB71" s="10">
        <f>IF(OR($C71="",$D71=""),"",IF(AND(DATE($B$1,1,1)+(50-1)*7&lt;=$D71,DATE($B$1,1,1)+50*7-1&gt;=$C71),1,""))</f>
        <v/>
      </c>
      <c r="BC71" s="10">
        <f>IF(OR($C71="",$D71=""),"",IF(AND(DATE($B$1,1,1)+(51-1)*7&lt;=$D71,DATE($B$1,1,1)+51*7-1&gt;=$C71),1,""))</f>
        <v/>
      </c>
      <c r="BD71" s="10">
        <f>IF(OR($C71="",$D71=""),"",IF(AND(DATE($B$1,1,1)+(52-1)*7&lt;=$D71,DATE($B$1,1,1)+52*7-1&gt;=$C71),1,""))</f>
        <v/>
      </c>
      <c r="BE71" s="10">
        <f>IF(OR($C71="",$D71=""),"",IF(AND(DATE($B$1,1,1)+(53-1)*7&lt;=$D71,DATE($B$1,1,1)+53*7-1&gt;=$C71),1,""))</f>
        <v/>
      </c>
      <c r="BF71" s="10">
        <f>IF(OR($C71="",$D71=""),"",IF(AND(DATE($B$1,1,1)+(54-1)*7&lt;=$D71,DATE($B$1,1,1)+54*7-1&gt;=$C71),1,""))</f>
        <v/>
      </c>
    </row>
    <row r="72">
      <c r="A72" s="6" t="n"/>
      <c r="B72" s="6" t="n"/>
      <c r="C72" s="11" t="n"/>
      <c r="D72" s="11" t="n"/>
      <c r="E72" s="10">
        <f>IF(OR($C72="",$D72=""),"",IF(AND(DATE($B$1,1,1)+(1-1)*7&lt;=$D72,DATE($B$1,1,1)+1*7-1&gt;=$C72),1,""))</f>
        <v/>
      </c>
      <c r="F72" s="10">
        <f>IF(OR($C72="",$D72=""),"",IF(AND(DATE($B$1,1,1)+(2-1)*7&lt;=$D72,DATE($B$1,1,1)+2*7-1&gt;=$C72),1,""))</f>
        <v/>
      </c>
      <c r="G72" s="10">
        <f>IF(OR($C72="",$D72=""),"",IF(AND(DATE($B$1,1,1)+(3-1)*7&lt;=$D72,DATE($B$1,1,1)+3*7-1&gt;=$C72),1,""))</f>
        <v/>
      </c>
      <c r="H72" s="10">
        <f>IF(OR($C72="",$D72=""),"",IF(AND(DATE($B$1,1,1)+(4-1)*7&lt;=$D72,DATE($B$1,1,1)+4*7-1&gt;=$C72),1,""))</f>
        <v/>
      </c>
      <c r="I72" s="10">
        <f>IF(OR($C72="",$D72=""),"",IF(AND(DATE($B$1,1,1)+(5-1)*7&lt;=$D72,DATE($B$1,1,1)+5*7-1&gt;=$C72),1,""))</f>
        <v/>
      </c>
      <c r="J72" s="10">
        <f>IF(OR($C72="",$D72=""),"",IF(AND(DATE($B$1,1,1)+(6-1)*7&lt;=$D72,DATE($B$1,1,1)+6*7-1&gt;=$C72),1,""))</f>
        <v/>
      </c>
      <c r="K72" s="10">
        <f>IF(OR($C72="",$D72=""),"",IF(AND(DATE($B$1,1,1)+(7-1)*7&lt;=$D72,DATE($B$1,1,1)+7*7-1&gt;=$C72),1,""))</f>
        <v/>
      </c>
      <c r="L72" s="10">
        <f>IF(OR($C72="",$D72=""),"",IF(AND(DATE($B$1,1,1)+(8-1)*7&lt;=$D72,DATE($B$1,1,1)+8*7-1&gt;=$C72),1,""))</f>
        <v/>
      </c>
      <c r="M72" s="10">
        <f>IF(OR($C72="",$D72=""),"",IF(AND(DATE($B$1,1,1)+(9-1)*7&lt;=$D72,DATE($B$1,1,1)+9*7-1&gt;=$C72),1,""))</f>
        <v/>
      </c>
      <c r="N72" s="10">
        <f>IF(OR($C72="",$D72=""),"",IF(AND(DATE($B$1,1,1)+(10-1)*7&lt;=$D72,DATE($B$1,1,1)+10*7-1&gt;=$C72),1,""))</f>
        <v/>
      </c>
      <c r="O72" s="10">
        <f>IF(OR($C72="",$D72=""),"",IF(AND(DATE($B$1,1,1)+(11-1)*7&lt;=$D72,DATE($B$1,1,1)+11*7-1&gt;=$C72),1,""))</f>
        <v/>
      </c>
      <c r="P72" s="10">
        <f>IF(OR($C72="",$D72=""),"",IF(AND(DATE($B$1,1,1)+(12-1)*7&lt;=$D72,DATE($B$1,1,1)+12*7-1&gt;=$C72),1,""))</f>
        <v/>
      </c>
      <c r="Q72" s="10">
        <f>IF(OR($C72="",$D72=""),"",IF(AND(DATE($B$1,1,1)+(13-1)*7&lt;=$D72,DATE($B$1,1,1)+13*7-1&gt;=$C72),1,""))</f>
        <v/>
      </c>
      <c r="R72" s="10">
        <f>IF(OR($C72="",$D72=""),"",IF(AND(DATE($B$1,1,1)+(14-1)*7&lt;=$D72,DATE($B$1,1,1)+14*7-1&gt;=$C72),1,""))</f>
        <v/>
      </c>
      <c r="S72" s="10">
        <f>IF(OR($C72="",$D72=""),"",IF(AND(DATE($B$1,1,1)+(15-1)*7&lt;=$D72,DATE($B$1,1,1)+15*7-1&gt;=$C72),1,""))</f>
        <v/>
      </c>
      <c r="T72" s="10">
        <f>IF(OR($C72="",$D72=""),"",IF(AND(DATE($B$1,1,1)+(16-1)*7&lt;=$D72,DATE($B$1,1,1)+16*7-1&gt;=$C72),1,""))</f>
        <v/>
      </c>
      <c r="U72" s="10">
        <f>IF(OR($C72="",$D72=""),"",IF(AND(DATE($B$1,1,1)+(17-1)*7&lt;=$D72,DATE($B$1,1,1)+17*7-1&gt;=$C72),1,""))</f>
        <v/>
      </c>
      <c r="V72" s="10">
        <f>IF(OR($C72="",$D72=""),"",IF(AND(DATE($B$1,1,1)+(18-1)*7&lt;=$D72,DATE($B$1,1,1)+18*7-1&gt;=$C72),1,""))</f>
        <v/>
      </c>
      <c r="W72" s="10">
        <f>IF(OR($C72="",$D72=""),"",IF(AND(DATE($B$1,1,1)+(19-1)*7&lt;=$D72,DATE($B$1,1,1)+19*7-1&gt;=$C72),1,""))</f>
        <v/>
      </c>
      <c r="X72" s="10">
        <f>IF(OR($C72="",$D72=""),"",IF(AND(DATE($B$1,1,1)+(20-1)*7&lt;=$D72,DATE($B$1,1,1)+20*7-1&gt;=$C72),1,""))</f>
        <v/>
      </c>
      <c r="Y72" s="10">
        <f>IF(OR($C72="",$D72=""),"",IF(AND(DATE($B$1,1,1)+(21-1)*7&lt;=$D72,DATE($B$1,1,1)+21*7-1&gt;=$C72),1,""))</f>
        <v/>
      </c>
      <c r="Z72" s="10">
        <f>IF(OR($C72="",$D72=""),"",IF(AND(DATE($B$1,1,1)+(22-1)*7&lt;=$D72,DATE($B$1,1,1)+22*7-1&gt;=$C72),1,""))</f>
        <v/>
      </c>
      <c r="AA72" s="10">
        <f>IF(OR($C72="",$D72=""),"",IF(AND(DATE($B$1,1,1)+(23-1)*7&lt;=$D72,DATE($B$1,1,1)+23*7-1&gt;=$C72),1,""))</f>
        <v/>
      </c>
      <c r="AB72" s="10">
        <f>IF(OR($C72="",$D72=""),"",IF(AND(DATE($B$1,1,1)+(24-1)*7&lt;=$D72,DATE($B$1,1,1)+24*7-1&gt;=$C72),1,""))</f>
        <v/>
      </c>
      <c r="AC72" s="10">
        <f>IF(OR($C72="",$D72=""),"",IF(AND(DATE($B$1,1,1)+(25-1)*7&lt;=$D72,DATE($B$1,1,1)+25*7-1&gt;=$C72),1,""))</f>
        <v/>
      </c>
      <c r="AD72" s="10">
        <f>IF(OR($C72="",$D72=""),"",IF(AND(DATE($B$1,1,1)+(26-1)*7&lt;=$D72,DATE($B$1,1,1)+26*7-1&gt;=$C72),1,""))</f>
        <v/>
      </c>
      <c r="AE72" s="10">
        <f>IF(OR($C72="",$D72=""),"",IF(AND(DATE($B$1,1,1)+(27-1)*7&lt;=$D72,DATE($B$1,1,1)+27*7-1&gt;=$C72),1,""))</f>
        <v/>
      </c>
      <c r="AF72" s="10">
        <f>IF(OR($C72="",$D72=""),"",IF(AND(DATE($B$1,1,1)+(28-1)*7&lt;=$D72,DATE($B$1,1,1)+28*7-1&gt;=$C72),1,""))</f>
        <v/>
      </c>
      <c r="AG72" s="10">
        <f>IF(OR($C72="",$D72=""),"",IF(AND(DATE($B$1,1,1)+(29-1)*7&lt;=$D72,DATE($B$1,1,1)+29*7-1&gt;=$C72),1,""))</f>
        <v/>
      </c>
      <c r="AH72" s="10">
        <f>IF(OR($C72="",$D72=""),"",IF(AND(DATE($B$1,1,1)+(30-1)*7&lt;=$D72,DATE($B$1,1,1)+30*7-1&gt;=$C72),1,""))</f>
        <v/>
      </c>
      <c r="AI72" s="10">
        <f>IF(OR($C72="",$D72=""),"",IF(AND(DATE($B$1,1,1)+(31-1)*7&lt;=$D72,DATE($B$1,1,1)+31*7-1&gt;=$C72),1,""))</f>
        <v/>
      </c>
      <c r="AJ72" s="10">
        <f>IF(OR($C72="",$D72=""),"",IF(AND(DATE($B$1,1,1)+(32-1)*7&lt;=$D72,DATE($B$1,1,1)+32*7-1&gt;=$C72),1,""))</f>
        <v/>
      </c>
      <c r="AK72" s="10">
        <f>IF(OR($C72="",$D72=""),"",IF(AND(DATE($B$1,1,1)+(33-1)*7&lt;=$D72,DATE($B$1,1,1)+33*7-1&gt;=$C72),1,""))</f>
        <v/>
      </c>
      <c r="AL72" s="10">
        <f>IF(OR($C72="",$D72=""),"",IF(AND(DATE($B$1,1,1)+(34-1)*7&lt;=$D72,DATE($B$1,1,1)+34*7-1&gt;=$C72),1,""))</f>
        <v/>
      </c>
      <c r="AM72" s="10">
        <f>IF(OR($C72="",$D72=""),"",IF(AND(DATE($B$1,1,1)+(35-1)*7&lt;=$D72,DATE($B$1,1,1)+35*7-1&gt;=$C72),1,""))</f>
        <v/>
      </c>
      <c r="AN72" s="10">
        <f>IF(OR($C72="",$D72=""),"",IF(AND(DATE($B$1,1,1)+(36-1)*7&lt;=$D72,DATE($B$1,1,1)+36*7-1&gt;=$C72),1,""))</f>
        <v/>
      </c>
      <c r="AO72" s="10">
        <f>IF(OR($C72="",$D72=""),"",IF(AND(DATE($B$1,1,1)+(37-1)*7&lt;=$D72,DATE($B$1,1,1)+37*7-1&gt;=$C72),1,""))</f>
        <v/>
      </c>
      <c r="AP72" s="10">
        <f>IF(OR($C72="",$D72=""),"",IF(AND(DATE($B$1,1,1)+(38-1)*7&lt;=$D72,DATE($B$1,1,1)+38*7-1&gt;=$C72),1,""))</f>
        <v/>
      </c>
      <c r="AQ72" s="10">
        <f>IF(OR($C72="",$D72=""),"",IF(AND(DATE($B$1,1,1)+(39-1)*7&lt;=$D72,DATE($B$1,1,1)+39*7-1&gt;=$C72),1,""))</f>
        <v/>
      </c>
      <c r="AR72" s="10">
        <f>IF(OR($C72="",$D72=""),"",IF(AND(DATE($B$1,1,1)+(40-1)*7&lt;=$D72,DATE($B$1,1,1)+40*7-1&gt;=$C72),1,""))</f>
        <v/>
      </c>
      <c r="AS72" s="10">
        <f>IF(OR($C72="",$D72=""),"",IF(AND(DATE($B$1,1,1)+(41-1)*7&lt;=$D72,DATE($B$1,1,1)+41*7-1&gt;=$C72),1,""))</f>
        <v/>
      </c>
      <c r="AT72" s="10">
        <f>IF(OR($C72="",$D72=""),"",IF(AND(DATE($B$1,1,1)+(42-1)*7&lt;=$D72,DATE($B$1,1,1)+42*7-1&gt;=$C72),1,""))</f>
        <v/>
      </c>
      <c r="AU72" s="10">
        <f>IF(OR($C72="",$D72=""),"",IF(AND(DATE($B$1,1,1)+(43-1)*7&lt;=$D72,DATE($B$1,1,1)+43*7-1&gt;=$C72),1,""))</f>
        <v/>
      </c>
      <c r="AV72" s="10">
        <f>IF(OR($C72="",$D72=""),"",IF(AND(DATE($B$1,1,1)+(44-1)*7&lt;=$D72,DATE($B$1,1,1)+44*7-1&gt;=$C72),1,""))</f>
        <v/>
      </c>
      <c r="AW72" s="10">
        <f>IF(OR($C72="",$D72=""),"",IF(AND(DATE($B$1,1,1)+(45-1)*7&lt;=$D72,DATE($B$1,1,1)+45*7-1&gt;=$C72),1,""))</f>
        <v/>
      </c>
      <c r="AX72" s="10">
        <f>IF(OR($C72="",$D72=""),"",IF(AND(DATE($B$1,1,1)+(46-1)*7&lt;=$D72,DATE($B$1,1,1)+46*7-1&gt;=$C72),1,""))</f>
        <v/>
      </c>
      <c r="AY72" s="10">
        <f>IF(OR($C72="",$D72=""),"",IF(AND(DATE($B$1,1,1)+(47-1)*7&lt;=$D72,DATE($B$1,1,1)+47*7-1&gt;=$C72),1,""))</f>
        <v/>
      </c>
      <c r="AZ72" s="10">
        <f>IF(OR($C72="",$D72=""),"",IF(AND(DATE($B$1,1,1)+(48-1)*7&lt;=$D72,DATE($B$1,1,1)+48*7-1&gt;=$C72),1,""))</f>
        <v/>
      </c>
      <c r="BA72" s="10">
        <f>IF(OR($C72="",$D72=""),"",IF(AND(DATE($B$1,1,1)+(49-1)*7&lt;=$D72,DATE($B$1,1,1)+49*7-1&gt;=$C72),1,""))</f>
        <v/>
      </c>
      <c r="BB72" s="10">
        <f>IF(OR($C72="",$D72=""),"",IF(AND(DATE($B$1,1,1)+(50-1)*7&lt;=$D72,DATE($B$1,1,1)+50*7-1&gt;=$C72),1,""))</f>
        <v/>
      </c>
      <c r="BC72" s="10">
        <f>IF(OR($C72="",$D72=""),"",IF(AND(DATE($B$1,1,1)+(51-1)*7&lt;=$D72,DATE($B$1,1,1)+51*7-1&gt;=$C72),1,""))</f>
        <v/>
      </c>
      <c r="BD72" s="10">
        <f>IF(OR($C72="",$D72=""),"",IF(AND(DATE($B$1,1,1)+(52-1)*7&lt;=$D72,DATE($B$1,1,1)+52*7-1&gt;=$C72),1,""))</f>
        <v/>
      </c>
      <c r="BE72" s="10">
        <f>IF(OR($C72="",$D72=""),"",IF(AND(DATE($B$1,1,1)+(53-1)*7&lt;=$D72,DATE($B$1,1,1)+53*7-1&gt;=$C72),1,""))</f>
        <v/>
      </c>
      <c r="BF72" s="10">
        <f>IF(OR($C72="",$D72=""),"",IF(AND(DATE($B$1,1,1)+(54-1)*7&lt;=$D72,DATE($B$1,1,1)+54*7-1&gt;=$C72),1,""))</f>
        <v/>
      </c>
    </row>
    <row r="73">
      <c r="A73" s="6" t="n"/>
      <c r="B73" s="6" t="n"/>
      <c r="C73" s="11" t="n"/>
      <c r="D73" s="11" t="n"/>
      <c r="E73" s="10">
        <f>IF(OR($C73="",$D73=""),"",IF(AND(DATE($B$1,1,1)+(1-1)*7&lt;=$D73,DATE($B$1,1,1)+1*7-1&gt;=$C73),1,""))</f>
        <v/>
      </c>
      <c r="F73" s="10">
        <f>IF(OR($C73="",$D73=""),"",IF(AND(DATE($B$1,1,1)+(2-1)*7&lt;=$D73,DATE($B$1,1,1)+2*7-1&gt;=$C73),1,""))</f>
        <v/>
      </c>
      <c r="G73" s="10">
        <f>IF(OR($C73="",$D73=""),"",IF(AND(DATE($B$1,1,1)+(3-1)*7&lt;=$D73,DATE($B$1,1,1)+3*7-1&gt;=$C73),1,""))</f>
        <v/>
      </c>
      <c r="H73" s="10">
        <f>IF(OR($C73="",$D73=""),"",IF(AND(DATE($B$1,1,1)+(4-1)*7&lt;=$D73,DATE($B$1,1,1)+4*7-1&gt;=$C73),1,""))</f>
        <v/>
      </c>
      <c r="I73" s="10">
        <f>IF(OR($C73="",$D73=""),"",IF(AND(DATE($B$1,1,1)+(5-1)*7&lt;=$D73,DATE($B$1,1,1)+5*7-1&gt;=$C73),1,""))</f>
        <v/>
      </c>
      <c r="J73" s="10">
        <f>IF(OR($C73="",$D73=""),"",IF(AND(DATE($B$1,1,1)+(6-1)*7&lt;=$D73,DATE($B$1,1,1)+6*7-1&gt;=$C73),1,""))</f>
        <v/>
      </c>
      <c r="K73" s="10">
        <f>IF(OR($C73="",$D73=""),"",IF(AND(DATE($B$1,1,1)+(7-1)*7&lt;=$D73,DATE($B$1,1,1)+7*7-1&gt;=$C73),1,""))</f>
        <v/>
      </c>
      <c r="L73" s="10">
        <f>IF(OR($C73="",$D73=""),"",IF(AND(DATE($B$1,1,1)+(8-1)*7&lt;=$D73,DATE($B$1,1,1)+8*7-1&gt;=$C73),1,""))</f>
        <v/>
      </c>
      <c r="M73" s="10">
        <f>IF(OR($C73="",$D73=""),"",IF(AND(DATE($B$1,1,1)+(9-1)*7&lt;=$D73,DATE($B$1,1,1)+9*7-1&gt;=$C73),1,""))</f>
        <v/>
      </c>
      <c r="N73" s="10">
        <f>IF(OR($C73="",$D73=""),"",IF(AND(DATE($B$1,1,1)+(10-1)*7&lt;=$D73,DATE($B$1,1,1)+10*7-1&gt;=$C73),1,""))</f>
        <v/>
      </c>
      <c r="O73" s="10">
        <f>IF(OR($C73="",$D73=""),"",IF(AND(DATE($B$1,1,1)+(11-1)*7&lt;=$D73,DATE($B$1,1,1)+11*7-1&gt;=$C73),1,""))</f>
        <v/>
      </c>
      <c r="P73" s="10">
        <f>IF(OR($C73="",$D73=""),"",IF(AND(DATE($B$1,1,1)+(12-1)*7&lt;=$D73,DATE($B$1,1,1)+12*7-1&gt;=$C73),1,""))</f>
        <v/>
      </c>
      <c r="Q73" s="10">
        <f>IF(OR($C73="",$D73=""),"",IF(AND(DATE($B$1,1,1)+(13-1)*7&lt;=$D73,DATE($B$1,1,1)+13*7-1&gt;=$C73),1,""))</f>
        <v/>
      </c>
      <c r="R73" s="10">
        <f>IF(OR($C73="",$D73=""),"",IF(AND(DATE($B$1,1,1)+(14-1)*7&lt;=$D73,DATE($B$1,1,1)+14*7-1&gt;=$C73),1,""))</f>
        <v/>
      </c>
      <c r="S73" s="10">
        <f>IF(OR($C73="",$D73=""),"",IF(AND(DATE($B$1,1,1)+(15-1)*7&lt;=$D73,DATE($B$1,1,1)+15*7-1&gt;=$C73),1,""))</f>
        <v/>
      </c>
      <c r="T73" s="10">
        <f>IF(OR($C73="",$D73=""),"",IF(AND(DATE($B$1,1,1)+(16-1)*7&lt;=$D73,DATE($B$1,1,1)+16*7-1&gt;=$C73),1,""))</f>
        <v/>
      </c>
      <c r="U73" s="10">
        <f>IF(OR($C73="",$D73=""),"",IF(AND(DATE($B$1,1,1)+(17-1)*7&lt;=$D73,DATE($B$1,1,1)+17*7-1&gt;=$C73),1,""))</f>
        <v/>
      </c>
      <c r="V73" s="10">
        <f>IF(OR($C73="",$D73=""),"",IF(AND(DATE($B$1,1,1)+(18-1)*7&lt;=$D73,DATE($B$1,1,1)+18*7-1&gt;=$C73),1,""))</f>
        <v/>
      </c>
      <c r="W73" s="10">
        <f>IF(OR($C73="",$D73=""),"",IF(AND(DATE($B$1,1,1)+(19-1)*7&lt;=$D73,DATE($B$1,1,1)+19*7-1&gt;=$C73),1,""))</f>
        <v/>
      </c>
      <c r="X73" s="10">
        <f>IF(OR($C73="",$D73=""),"",IF(AND(DATE($B$1,1,1)+(20-1)*7&lt;=$D73,DATE($B$1,1,1)+20*7-1&gt;=$C73),1,""))</f>
        <v/>
      </c>
      <c r="Y73" s="10">
        <f>IF(OR($C73="",$D73=""),"",IF(AND(DATE($B$1,1,1)+(21-1)*7&lt;=$D73,DATE($B$1,1,1)+21*7-1&gt;=$C73),1,""))</f>
        <v/>
      </c>
      <c r="Z73" s="10">
        <f>IF(OR($C73="",$D73=""),"",IF(AND(DATE($B$1,1,1)+(22-1)*7&lt;=$D73,DATE($B$1,1,1)+22*7-1&gt;=$C73),1,""))</f>
        <v/>
      </c>
      <c r="AA73" s="10">
        <f>IF(OR($C73="",$D73=""),"",IF(AND(DATE($B$1,1,1)+(23-1)*7&lt;=$D73,DATE($B$1,1,1)+23*7-1&gt;=$C73),1,""))</f>
        <v/>
      </c>
      <c r="AB73" s="10">
        <f>IF(OR($C73="",$D73=""),"",IF(AND(DATE($B$1,1,1)+(24-1)*7&lt;=$D73,DATE($B$1,1,1)+24*7-1&gt;=$C73),1,""))</f>
        <v/>
      </c>
      <c r="AC73" s="10">
        <f>IF(OR($C73="",$D73=""),"",IF(AND(DATE($B$1,1,1)+(25-1)*7&lt;=$D73,DATE($B$1,1,1)+25*7-1&gt;=$C73),1,""))</f>
        <v/>
      </c>
      <c r="AD73" s="10">
        <f>IF(OR($C73="",$D73=""),"",IF(AND(DATE($B$1,1,1)+(26-1)*7&lt;=$D73,DATE($B$1,1,1)+26*7-1&gt;=$C73),1,""))</f>
        <v/>
      </c>
      <c r="AE73" s="10">
        <f>IF(OR($C73="",$D73=""),"",IF(AND(DATE($B$1,1,1)+(27-1)*7&lt;=$D73,DATE($B$1,1,1)+27*7-1&gt;=$C73),1,""))</f>
        <v/>
      </c>
      <c r="AF73" s="10">
        <f>IF(OR($C73="",$D73=""),"",IF(AND(DATE($B$1,1,1)+(28-1)*7&lt;=$D73,DATE($B$1,1,1)+28*7-1&gt;=$C73),1,""))</f>
        <v/>
      </c>
      <c r="AG73" s="10">
        <f>IF(OR($C73="",$D73=""),"",IF(AND(DATE($B$1,1,1)+(29-1)*7&lt;=$D73,DATE($B$1,1,1)+29*7-1&gt;=$C73),1,""))</f>
        <v/>
      </c>
      <c r="AH73" s="10">
        <f>IF(OR($C73="",$D73=""),"",IF(AND(DATE($B$1,1,1)+(30-1)*7&lt;=$D73,DATE($B$1,1,1)+30*7-1&gt;=$C73),1,""))</f>
        <v/>
      </c>
      <c r="AI73" s="10">
        <f>IF(OR($C73="",$D73=""),"",IF(AND(DATE($B$1,1,1)+(31-1)*7&lt;=$D73,DATE($B$1,1,1)+31*7-1&gt;=$C73),1,""))</f>
        <v/>
      </c>
      <c r="AJ73" s="10">
        <f>IF(OR($C73="",$D73=""),"",IF(AND(DATE($B$1,1,1)+(32-1)*7&lt;=$D73,DATE($B$1,1,1)+32*7-1&gt;=$C73),1,""))</f>
        <v/>
      </c>
      <c r="AK73" s="10">
        <f>IF(OR($C73="",$D73=""),"",IF(AND(DATE($B$1,1,1)+(33-1)*7&lt;=$D73,DATE($B$1,1,1)+33*7-1&gt;=$C73),1,""))</f>
        <v/>
      </c>
      <c r="AL73" s="10">
        <f>IF(OR($C73="",$D73=""),"",IF(AND(DATE($B$1,1,1)+(34-1)*7&lt;=$D73,DATE($B$1,1,1)+34*7-1&gt;=$C73),1,""))</f>
        <v/>
      </c>
      <c r="AM73" s="10">
        <f>IF(OR($C73="",$D73=""),"",IF(AND(DATE($B$1,1,1)+(35-1)*7&lt;=$D73,DATE($B$1,1,1)+35*7-1&gt;=$C73),1,""))</f>
        <v/>
      </c>
      <c r="AN73" s="10">
        <f>IF(OR($C73="",$D73=""),"",IF(AND(DATE($B$1,1,1)+(36-1)*7&lt;=$D73,DATE($B$1,1,1)+36*7-1&gt;=$C73),1,""))</f>
        <v/>
      </c>
      <c r="AO73" s="10">
        <f>IF(OR($C73="",$D73=""),"",IF(AND(DATE($B$1,1,1)+(37-1)*7&lt;=$D73,DATE($B$1,1,1)+37*7-1&gt;=$C73),1,""))</f>
        <v/>
      </c>
      <c r="AP73" s="10">
        <f>IF(OR($C73="",$D73=""),"",IF(AND(DATE($B$1,1,1)+(38-1)*7&lt;=$D73,DATE($B$1,1,1)+38*7-1&gt;=$C73),1,""))</f>
        <v/>
      </c>
      <c r="AQ73" s="10">
        <f>IF(OR($C73="",$D73=""),"",IF(AND(DATE($B$1,1,1)+(39-1)*7&lt;=$D73,DATE($B$1,1,1)+39*7-1&gt;=$C73),1,""))</f>
        <v/>
      </c>
      <c r="AR73" s="10">
        <f>IF(OR($C73="",$D73=""),"",IF(AND(DATE($B$1,1,1)+(40-1)*7&lt;=$D73,DATE($B$1,1,1)+40*7-1&gt;=$C73),1,""))</f>
        <v/>
      </c>
      <c r="AS73" s="10">
        <f>IF(OR($C73="",$D73=""),"",IF(AND(DATE($B$1,1,1)+(41-1)*7&lt;=$D73,DATE($B$1,1,1)+41*7-1&gt;=$C73),1,""))</f>
        <v/>
      </c>
      <c r="AT73" s="10">
        <f>IF(OR($C73="",$D73=""),"",IF(AND(DATE($B$1,1,1)+(42-1)*7&lt;=$D73,DATE($B$1,1,1)+42*7-1&gt;=$C73),1,""))</f>
        <v/>
      </c>
      <c r="AU73" s="10">
        <f>IF(OR($C73="",$D73=""),"",IF(AND(DATE($B$1,1,1)+(43-1)*7&lt;=$D73,DATE($B$1,1,1)+43*7-1&gt;=$C73),1,""))</f>
        <v/>
      </c>
      <c r="AV73" s="10">
        <f>IF(OR($C73="",$D73=""),"",IF(AND(DATE($B$1,1,1)+(44-1)*7&lt;=$D73,DATE($B$1,1,1)+44*7-1&gt;=$C73),1,""))</f>
        <v/>
      </c>
      <c r="AW73" s="10">
        <f>IF(OR($C73="",$D73=""),"",IF(AND(DATE($B$1,1,1)+(45-1)*7&lt;=$D73,DATE($B$1,1,1)+45*7-1&gt;=$C73),1,""))</f>
        <v/>
      </c>
      <c r="AX73" s="10">
        <f>IF(OR($C73="",$D73=""),"",IF(AND(DATE($B$1,1,1)+(46-1)*7&lt;=$D73,DATE($B$1,1,1)+46*7-1&gt;=$C73),1,""))</f>
        <v/>
      </c>
      <c r="AY73" s="10">
        <f>IF(OR($C73="",$D73=""),"",IF(AND(DATE($B$1,1,1)+(47-1)*7&lt;=$D73,DATE($B$1,1,1)+47*7-1&gt;=$C73),1,""))</f>
        <v/>
      </c>
      <c r="AZ73" s="10">
        <f>IF(OR($C73="",$D73=""),"",IF(AND(DATE($B$1,1,1)+(48-1)*7&lt;=$D73,DATE($B$1,1,1)+48*7-1&gt;=$C73),1,""))</f>
        <v/>
      </c>
      <c r="BA73" s="10">
        <f>IF(OR($C73="",$D73=""),"",IF(AND(DATE($B$1,1,1)+(49-1)*7&lt;=$D73,DATE($B$1,1,1)+49*7-1&gt;=$C73),1,""))</f>
        <v/>
      </c>
      <c r="BB73" s="10">
        <f>IF(OR($C73="",$D73=""),"",IF(AND(DATE($B$1,1,1)+(50-1)*7&lt;=$D73,DATE($B$1,1,1)+50*7-1&gt;=$C73),1,""))</f>
        <v/>
      </c>
      <c r="BC73" s="10">
        <f>IF(OR($C73="",$D73=""),"",IF(AND(DATE($B$1,1,1)+(51-1)*7&lt;=$D73,DATE($B$1,1,1)+51*7-1&gt;=$C73),1,""))</f>
        <v/>
      </c>
      <c r="BD73" s="10">
        <f>IF(OR($C73="",$D73=""),"",IF(AND(DATE($B$1,1,1)+(52-1)*7&lt;=$D73,DATE($B$1,1,1)+52*7-1&gt;=$C73),1,""))</f>
        <v/>
      </c>
      <c r="BE73" s="10">
        <f>IF(OR($C73="",$D73=""),"",IF(AND(DATE($B$1,1,1)+(53-1)*7&lt;=$D73,DATE($B$1,1,1)+53*7-1&gt;=$C73),1,""))</f>
        <v/>
      </c>
      <c r="BF73" s="10">
        <f>IF(OR($C73="",$D73=""),"",IF(AND(DATE($B$1,1,1)+(54-1)*7&lt;=$D73,DATE($B$1,1,1)+54*7-1&gt;=$C73),1,""))</f>
        <v/>
      </c>
    </row>
    <row r="74">
      <c r="A74" s="6" t="n"/>
      <c r="B74" s="6" t="n"/>
      <c r="C74" s="11" t="n"/>
      <c r="D74" s="11" t="n"/>
      <c r="E74" s="10">
        <f>IF(OR($C74="",$D74=""),"",IF(AND(DATE($B$1,1,1)+(1-1)*7&lt;=$D74,DATE($B$1,1,1)+1*7-1&gt;=$C74),1,""))</f>
        <v/>
      </c>
      <c r="F74" s="10">
        <f>IF(OR($C74="",$D74=""),"",IF(AND(DATE($B$1,1,1)+(2-1)*7&lt;=$D74,DATE($B$1,1,1)+2*7-1&gt;=$C74),1,""))</f>
        <v/>
      </c>
      <c r="G74" s="10">
        <f>IF(OR($C74="",$D74=""),"",IF(AND(DATE($B$1,1,1)+(3-1)*7&lt;=$D74,DATE($B$1,1,1)+3*7-1&gt;=$C74),1,""))</f>
        <v/>
      </c>
      <c r="H74" s="10">
        <f>IF(OR($C74="",$D74=""),"",IF(AND(DATE($B$1,1,1)+(4-1)*7&lt;=$D74,DATE($B$1,1,1)+4*7-1&gt;=$C74),1,""))</f>
        <v/>
      </c>
      <c r="I74" s="10">
        <f>IF(OR($C74="",$D74=""),"",IF(AND(DATE($B$1,1,1)+(5-1)*7&lt;=$D74,DATE($B$1,1,1)+5*7-1&gt;=$C74),1,""))</f>
        <v/>
      </c>
      <c r="J74" s="10">
        <f>IF(OR($C74="",$D74=""),"",IF(AND(DATE($B$1,1,1)+(6-1)*7&lt;=$D74,DATE($B$1,1,1)+6*7-1&gt;=$C74),1,""))</f>
        <v/>
      </c>
      <c r="K74" s="10">
        <f>IF(OR($C74="",$D74=""),"",IF(AND(DATE($B$1,1,1)+(7-1)*7&lt;=$D74,DATE($B$1,1,1)+7*7-1&gt;=$C74),1,""))</f>
        <v/>
      </c>
      <c r="L74" s="10">
        <f>IF(OR($C74="",$D74=""),"",IF(AND(DATE($B$1,1,1)+(8-1)*7&lt;=$D74,DATE($B$1,1,1)+8*7-1&gt;=$C74),1,""))</f>
        <v/>
      </c>
      <c r="M74" s="10">
        <f>IF(OR($C74="",$D74=""),"",IF(AND(DATE($B$1,1,1)+(9-1)*7&lt;=$D74,DATE($B$1,1,1)+9*7-1&gt;=$C74),1,""))</f>
        <v/>
      </c>
      <c r="N74" s="10">
        <f>IF(OR($C74="",$D74=""),"",IF(AND(DATE($B$1,1,1)+(10-1)*7&lt;=$D74,DATE($B$1,1,1)+10*7-1&gt;=$C74),1,""))</f>
        <v/>
      </c>
      <c r="O74" s="10">
        <f>IF(OR($C74="",$D74=""),"",IF(AND(DATE($B$1,1,1)+(11-1)*7&lt;=$D74,DATE($B$1,1,1)+11*7-1&gt;=$C74),1,""))</f>
        <v/>
      </c>
      <c r="P74" s="10">
        <f>IF(OR($C74="",$D74=""),"",IF(AND(DATE($B$1,1,1)+(12-1)*7&lt;=$D74,DATE($B$1,1,1)+12*7-1&gt;=$C74),1,""))</f>
        <v/>
      </c>
      <c r="Q74" s="10">
        <f>IF(OR($C74="",$D74=""),"",IF(AND(DATE($B$1,1,1)+(13-1)*7&lt;=$D74,DATE($B$1,1,1)+13*7-1&gt;=$C74),1,""))</f>
        <v/>
      </c>
      <c r="R74" s="10">
        <f>IF(OR($C74="",$D74=""),"",IF(AND(DATE($B$1,1,1)+(14-1)*7&lt;=$D74,DATE($B$1,1,1)+14*7-1&gt;=$C74),1,""))</f>
        <v/>
      </c>
      <c r="S74" s="10">
        <f>IF(OR($C74="",$D74=""),"",IF(AND(DATE($B$1,1,1)+(15-1)*7&lt;=$D74,DATE($B$1,1,1)+15*7-1&gt;=$C74),1,""))</f>
        <v/>
      </c>
      <c r="T74" s="10">
        <f>IF(OR($C74="",$D74=""),"",IF(AND(DATE($B$1,1,1)+(16-1)*7&lt;=$D74,DATE($B$1,1,1)+16*7-1&gt;=$C74),1,""))</f>
        <v/>
      </c>
      <c r="U74" s="10">
        <f>IF(OR($C74="",$D74=""),"",IF(AND(DATE($B$1,1,1)+(17-1)*7&lt;=$D74,DATE($B$1,1,1)+17*7-1&gt;=$C74),1,""))</f>
        <v/>
      </c>
      <c r="V74" s="10">
        <f>IF(OR($C74="",$D74=""),"",IF(AND(DATE($B$1,1,1)+(18-1)*7&lt;=$D74,DATE($B$1,1,1)+18*7-1&gt;=$C74),1,""))</f>
        <v/>
      </c>
      <c r="W74" s="10">
        <f>IF(OR($C74="",$D74=""),"",IF(AND(DATE($B$1,1,1)+(19-1)*7&lt;=$D74,DATE($B$1,1,1)+19*7-1&gt;=$C74),1,""))</f>
        <v/>
      </c>
      <c r="X74" s="10">
        <f>IF(OR($C74="",$D74=""),"",IF(AND(DATE($B$1,1,1)+(20-1)*7&lt;=$D74,DATE($B$1,1,1)+20*7-1&gt;=$C74),1,""))</f>
        <v/>
      </c>
      <c r="Y74" s="10">
        <f>IF(OR($C74="",$D74=""),"",IF(AND(DATE($B$1,1,1)+(21-1)*7&lt;=$D74,DATE($B$1,1,1)+21*7-1&gt;=$C74),1,""))</f>
        <v/>
      </c>
      <c r="Z74" s="10">
        <f>IF(OR($C74="",$D74=""),"",IF(AND(DATE($B$1,1,1)+(22-1)*7&lt;=$D74,DATE($B$1,1,1)+22*7-1&gt;=$C74),1,""))</f>
        <v/>
      </c>
      <c r="AA74" s="10">
        <f>IF(OR($C74="",$D74=""),"",IF(AND(DATE($B$1,1,1)+(23-1)*7&lt;=$D74,DATE($B$1,1,1)+23*7-1&gt;=$C74),1,""))</f>
        <v/>
      </c>
      <c r="AB74" s="10">
        <f>IF(OR($C74="",$D74=""),"",IF(AND(DATE($B$1,1,1)+(24-1)*7&lt;=$D74,DATE($B$1,1,1)+24*7-1&gt;=$C74),1,""))</f>
        <v/>
      </c>
      <c r="AC74" s="10">
        <f>IF(OR($C74="",$D74=""),"",IF(AND(DATE($B$1,1,1)+(25-1)*7&lt;=$D74,DATE($B$1,1,1)+25*7-1&gt;=$C74),1,""))</f>
        <v/>
      </c>
      <c r="AD74" s="10">
        <f>IF(OR($C74="",$D74=""),"",IF(AND(DATE($B$1,1,1)+(26-1)*7&lt;=$D74,DATE($B$1,1,1)+26*7-1&gt;=$C74),1,""))</f>
        <v/>
      </c>
      <c r="AE74" s="10">
        <f>IF(OR($C74="",$D74=""),"",IF(AND(DATE($B$1,1,1)+(27-1)*7&lt;=$D74,DATE($B$1,1,1)+27*7-1&gt;=$C74),1,""))</f>
        <v/>
      </c>
      <c r="AF74" s="10">
        <f>IF(OR($C74="",$D74=""),"",IF(AND(DATE($B$1,1,1)+(28-1)*7&lt;=$D74,DATE($B$1,1,1)+28*7-1&gt;=$C74),1,""))</f>
        <v/>
      </c>
      <c r="AG74" s="10">
        <f>IF(OR($C74="",$D74=""),"",IF(AND(DATE($B$1,1,1)+(29-1)*7&lt;=$D74,DATE($B$1,1,1)+29*7-1&gt;=$C74),1,""))</f>
        <v/>
      </c>
      <c r="AH74" s="10">
        <f>IF(OR($C74="",$D74=""),"",IF(AND(DATE($B$1,1,1)+(30-1)*7&lt;=$D74,DATE($B$1,1,1)+30*7-1&gt;=$C74),1,""))</f>
        <v/>
      </c>
      <c r="AI74" s="10">
        <f>IF(OR($C74="",$D74=""),"",IF(AND(DATE($B$1,1,1)+(31-1)*7&lt;=$D74,DATE($B$1,1,1)+31*7-1&gt;=$C74),1,""))</f>
        <v/>
      </c>
      <c r="AJ74" s="10">
        <f>IF(OR($C74="",$D74=""),"",IF(AND(DATE($B$1,1,1)+(32-1)*7&lt;=$D74,DATE($B$1,1,1)+32*7-1&gt;=$C74),1,""))</f>
        <v/>
      </c>
      <c r="AK74" s="10">
        <f>IF(OR($C74="",$D74=""),"",IF(AND(DATE($B$1,1,1)+(33-1)*7&lt;=$D74,DATE($B$1,1,1)+33*7-1&gt;=$C74),1,""))</f>
        <v/>
      </c>
      <c r="AL74" s="10">
        <f>IF(OR($C74="",$D74=""),"",IF(AND(DATE($B$1,1,1)+(34-1)*7&lt;=$D74,DATE($B$1,1,1)+34*7-1&gt;=$C74),1,""))</f>
        <v/>
      </c>
      <c r="AM74" s="10">
        <f>IF(OR($C74="",$D74=""),"",IF(AND(DATE($B$1,1,1)+(35-1)*7&lt;=$D74,DATE($B$1,1,1)+35*7-1&gt;=$C74),1,""))</f>
        <v/>
      </c>
      <c r="AN74" s="10">
        <f>IF(OR($C74="",$D74=""),"",IF(AND(DATE($B$1,1,1)+(36-1)*7&lt;=$D74,DATE($B$1,1,1)+36*7-1&gt;=$C74),1,""))</f>
        <v/>
      </c>
      <c r="AO74" s="10">
        <f>IF(OR($C74="",$D74=""),"",IF(AND(DATE($B$1,1,1)+(37-1)*7&lt;=$D74,DATE($B$1,1,1)+37*7-1&gt;=$C74),1,""))</f>
        <v/>
      </c>
      <c r="AP74" s="10">
        <f>IF(OR($C74="",$D74=""),"",IF(AND(DATE($B$1,1,1)+(38-1)*7&lt;=$D74,DATE($B$1,1,1)+38*7-1&gt;=$C74),1,""))</f>
        <v/>
      </c>
      <c r="AQ74" s="10">
        <f>IF(OR($C74="",$D74=""),"",IF(AND(DATE($B$1,1,1)+(39-1)*7&lt;=$D74,DATE($B$1,1,1)+39*7-1&gt;=$C74),1,""))</f>
        <v/>
      </c>
      <c r="AR74" s="10">
        <f>IF(OR($C74="",$D74=""),"",IF(AND(DATE($B$1,1,1)+(40-1)*7&lt;=$D74,DATE($B$1,1,1)+40*7-1&gt;=$C74),1,""))</f>
        <v/>
      </c>
      <c r="AS74" s="10">
        <f>IF(OR($C74="",$D74=""),"",IF(AND(DATE($B$1,1,1)+(41-1)*7&lt;=$D74,DATE($B$1,1,1)+41*7-1&gt;=$C74),1,""))</f>
        <v/>
      </c>
      <c r="AT74" s="10">
        <f>IF(OR($C74="",$D74=""),"",IF(AND(DATE($B$1,1,1)+(42-1)*7&lt;=$D74,DATE($B$1,1,1)+42*7-1&gt;=$C74),1,""))</f>
        <v/>
      </c>
      <c r="AU74" s="10">
        <f>IF(OR($C74="",$D74=""),"",IF(AND(DATE($B$1,1,1)+(43-1)*7&lt;=$D74,DATE($B$1,1,1)+43*7-1&gt;=$C74),1,""))</f>
        <v/>
      </c>
      <c r="AV74" s="10">
        <f>IF(OR($C74="",$D74=""),"",IF(AND(DATE($B$1,1,1)+(44-1)*7&lt;=$D74,DATE($B$1,1,1)+44*7-1&gt;=$C74),1,""))</f>
        <v/>
      </c>
      <c r="AW74" s="10">
        <f>IF(OR($C74="",$D74=""),"",IF(AND(DATE($B$1,1,1)+(45-1)*7&lt;=$D74,DATE($B$1,1,1)+45*7-1&gt;=$C74),1,""))</f>
        <v/>
      </c>
      <c r="AX74" s="10">
        <f>IF(OR($C74="",$D74=""),"",IF(AND(DATE($B$1,1,1)+(46-1)*7&lt;=$D74,DATE($B$1,1,1)+46*7-1&gt;=$C74),1,""))</f>
        <v/>
      </c>
      <c r="AY74" s="10">
        <f>IF(OR($C74="",$D74=""),"",IF(AND(DATE($B$1,1,1)+(47-1)*7&lt;=$D74,DATE($B$1,1,1)+47*7-1&gt;=$C74),1,""))</f>
        <v/>
      </c>
      <c r="AZ74" s="10">
        <f>IF(OR($C74="",$D74=""),"",IF(AND(DATE($B$1,1,1)+(48-1)*7&lt;=$D74,DATE($B$1,1,1)+48*7-1&gt;=$C74),1,""))</f>
        <v/>
      </c>
      <c r="BA74" s="10">
        <f>IF(OR($C74="",$D74=""),"",IF(AND(DATE($B$1,1,1)+(49-1)*7&lt;=$D74,DATE($B$1,1,1)+49*7-1&gt;=$C74),1,""))</f>
        <v/>
      </c>
      <c r="BB74" s="10">
        <f>IF(OR($C74="",$D74=""),"",IF(AND(DATE($B$1,1,1)+(50-1)*7&lt;=$D74,DATE($B$1,1,1)+50*7-1&gt;=$C74),1,""))</f>
        <v/>
      </c>
      <c r="BC74" s="10">
        <f>IF(OR($C74="",$D74=""),"",IF(AND(DATE($B$1,1,1)+(51-1)*7&lt;=$D74,DATE($B$1,1,1)+51*7-1&gt;=$C74),1,""))</f>
        <v/>
      </c>
      <c r="BD74" s="10">
        <f>IF(OR($C74="",$D74=""),"",IF(AND(DATE($B$1,1,1)+(52-1)*7&lt;=$D74,DATE($B$1,1,1)+52*7-1&gt;=$C74),1,""))</f>
        <v/>
      </c>
      <c r="BE74" s="10">
        <f>IF(OR($C74="",$D74=""),"",IF(AND(DATE($B$1,1,1)+(53-1)*7&lt;=$D74,DATE($B$1,1,1)+53*7-1&gt;=$C74),1,""))</f>
        <v/>
      </c>
      <c r="BF74" s="10">
        <f>IF(OR($C74="",$D74=""),"",IF(AND(DATE($B$1,1,1)+(54-1)*7&lt;=$D74,DATE($B$1,1,1)+54*7-1&gt;=$C74),1,""))</f>
        <v/>
      </c>
    </row>
    <row r="75">
      <c r="A75" s="6" t="n"/>
      <c r="B75" s="6" t="n"/>
      <c r="C75" s="11" t="n"/>
      <c r="D75" s="11" t="n"/>
      <c r="E75" s="10">
        <f>IF(OR($C75="",$D75=""),"",IF(AND(DATE($B$1,1,1)+(1-1)*7&lt;=$D75,DATE($B$1,1,1)+1*7-1&gt;=$C75),1,""))</f>
        <v/>
      </c>
      <c r="F75" s="10">
        <f>IF(OR($C75="",$D75=""),"",IF(AND(DATE($B$1,1,1)+(2-1)*7&lt;=$D75,DATE($B$1,1,1)+2*7-1&gt;=$C75),1,""))</f>
        <v/>
      </c>
      <c r="G75" s="10">
        <f>IF(OR($C75="",$D75=""),"",IF(AND(DATE($B$1,1,1)+(3-1)*7&lt;=$D75,DATE($B$1,1,1)+3*7-1&gt;=$C75),1,""))</f>
        <v/>
      </c>
      <c r="H75" s="10">
        <f>IF(OR($C75="",$D75=""),"",IF(AND(DATE($B$1,1,1)+(4-1)*7&lt;=$D75,DATE($B$1,1,1)+4*7-1&gt;=$C75),1,""))</f>
        <v/>
      </c>
      <c r="I75" s="10">
        <f>IF(OR($C75="",$D75=""),"",IF(AND(DATE($B$1,1,1)+(5-1)*7&lt;=$D75,DATE($B$1,1,1)+5*7-1&gt;=$C75),1,""))</f>
        <v/>
      </c>
      <c r="J75" s="10">
        <f>IF(OR($C75="",$D75=""),"",IF(AND(DATE($B$1,1,1)+(6-1)*7&lt;=$D75,DATE($B$1,1,1)+6*7-1&gt;=$C75),1,""))</f>
        <v/>
      </c>
      <c r="K75" s="10">
        <f>IF(OR($C75="",$D75=""),"",IF(AND(DATE($B$1,1,1)+(7-1)*7&lt;=$D75,DATE($B$1,1,1)+7*7-1&gt;=$C75),1,""))</f>
        <v/>
      </c>
      <c r="L75" s="10">
        <f>IF(OR($C75="",$D75=""),"",IF(AND(DATE($B$1,1,1)+(8-1)*7&lt;=$D75,DATE($B$1,1,1)+8*7-1&gt;=$C75),1,""))</f>
        <v/>
      </c>
      <c r="M75" s="10">
        <f>IF(OR($C75="",$D75=""),"",IF(AND(DATE($B$1,1,1)+(9-1)*7&lt;=$D75,DATE($B$1,1,1)+9*7-1&gt;=$C75),1,""))</f>
        <v/>
      </c>
      <c r="N75" s="10">
        <f>IF(OR($C75="",$D75=""),"",IF(AND(DATE($B$1,1,1)+(10-1)*7&lt;=$D75,DATE($B$1,1,1)+10*7-1&gt;=$C75),1,""))</f>
        <v/>
      </c>
      <c r="O75" s="10">
        <f>IF(OR($C75="",$D75=""),"",IF(AND(DATE($B$1,1,1)+(11-1)*7&lt;=$D75,DATE($B$1,1,1)+11*7-1&gt;=$C75),1,""))</f>
        <v/>
      </c>
      <c r="P75" s="10">
        <f>IF(OR($C75="",$D75=""),"",IF(AND(DATE($B$1,1,1)+(12-1)*7&lt;=$D75,DATE($B$1,1,1)+12*7-1&gt;=$C75),1,""))</f>
        <v/>
      </c>
      <c r="Q75" s="10">
        <f>IF(OR($C75="",$D75=""),"",IF(AND(DATE($B$1,1,1)+(13-1)*7&lt;=$D75,DATE($B$1,1,1)+13*7-1&gt;=$C75),1,""))</f>
        <v/>
      </c>
      <c r="R75" s="10">
        <f>IF(OR($C75="",$D75=""),"",IF(AND(DATE($B$1,1,1)+(14-1)*7&lt;=$D75,DATE($B$1,1,1)+14*7-1&gt;=$C75),1,""))</f>
        <v/>
      </c>
      <c r="S75" s="10">
        <f>IF(OR($C75="",$D75=""),"",IF(AND(DATE($B$1,1,1)+(15-1)*7&lt;=$D75,DATE($B$1,1,1)+15*7-1&gt;=$C75),1,""))</f>
        <v/>
      </c>
      <c r="T75" s="10">
        <f>IF(OR($C75="",$D75=""),"",IF(AND(DATE($B$1,1,1)+(16-1)*7&lt;=$D75,DATE($B$1,1,1)+16*7-1&gt;=$C75),1,""))</f>
        <v/>
      </c>
      <c r="U75" s="10">
        <f>IF(OR($C75="",$D75=""),"",IF(AND(DATE($B$1,1,1)+(17-1)*7&lt;=$D75,DATE($B$1,1,1)+17*7-1&gt;=$C75),1,""))</f>
        <v/>
      </c>
      <c r="V75" s="10">
        <f>IF(OR($C75="",$D75=""),"",IF(AND(DATE($B$1,1,1)+(18-1)*7&lt;=$D75,DATE($B$1,1,1)+18*7-1&gt;=$C75),1,""))</f>
        <v/>
      </c>
      <c r="W75" s="10">
        <f>IF(OR($C75="",$D75=""),"",IF(AND(DATE($B$1,1,1)+(19-1)*7&lt;=$D75,DATE($B$1,1,1)+19*7-1&gt;=$C75),1,""))</f>
        <v/>
      </c>
      <c r="X75" s="10">
        <f>IF(OR($C75="",$D75=""),"",IF(AND(DATE($B$1,1,1)+(20-1)*7&lt;=$D75,DATE($B$1,1,1)+20*7-1&gt;=$C75),1,""))</f>
        <v/>
      </c>
      <c r="Y75" s="10">
        <f>IF(OR($C75="",$D75=""),"",IF(AND(DATE($B$1,1,1)+(21-1)*7&lt;=$D75,DATE($B$1,1,1)+21*7-1&gt;=$C75),1,""))</f>
        <v/>
      </c>
      <c r="Z75" s="10">
        <f>IF(OR($C75="",$D75=""),"",IF(AND(DATE($B$1,1,1)+(22-1)*7&lt;=$D75,DATE($B$1,1,1)+22*7-1&gt;=$C75),1,""))</f>
        <v/>
      </c>
      <c r="AA75" s="10">
        <f>IF(OR($C75="",$D75=""),"",IF(AND(DATE($B$1,1,1)+(23-1)*7&lt;=$D75,DATE($B$1,1,1)+23*7-1&gt;=$C75),1,""))</f>
        <v/>
      </c>
      <c r="AB75" s="10">
        <f>IF(OR($C75="",$D75=""),"",IF(AND(DATE($B$1,1,1)+(24-1)*7&lt;=$D75,DATE($B$1,1,1)+24*7-1&gt;=$C75),1,""))</f>
        <v/>
      </c>
      <c r="AC75" s="10">
        <f>IF(OR($C75="",$D75=""),"",IF(AND(DATE($B$1,1,1)+(25-1)*7&lt;=$D75,DATE($B$1,1,1)+25*7-1&gt;=$C75),1,""))</f>
        <v/>
      </c>
      <c r="AD75" s="10">
        <f>IF(OR($C75="",$D75=""),"",IF(AND(DATE($B$1,1,1)+(26-1)*7&lt;=$D75,DATE($B$1,1,1)+26*7-1&gt;=$C75),1,""))</f>
        <v/>
      </c>
      <c r="AE75" s="10">
        <f>IF(OR($C75="",$D75=""),"",IF(AND(DATE($B$1,1,1)+(27-1)*7&lt;=$D75,DATE($B$1,1,1)+27*7-1&gt;=$C75),1,""))</f>
        <v/>
      </c>
      <c r="AF75" s="10">
        <f>IF(OR($C75="",$D75=""),"",IF(AND(DATE($B$1,1,1)+(28-1)*7&lt;=$D75,DATE($B$1,1,1)+28*7-1&gt;=$C75),1,""))</f>
        <v/>
      </c>
      <c r="AG75" s="10">
        <f>IF(OR($C75="",$D75=""),"",IF(AND(DATE($B$1,1,1)+(29-1)*7&lt;=$D75,DATE($B$1,1,1)+29*7-1&gt;=$C75),1,""))</f>
        <v/>
      </c>
      <c r="AH75" s="10">
        <f>IF(OR($C75="",$D75=""),"",IF(AND(DATE($B$1,1,1)+(30-1)*7&lt;=$D75,DATE($B$1,1,1)+30*7-1&gt;=$C75),1,""))</f>
        <v/>
      </c>
      <c r="AI75" s="10">
        <f>IF(OR($C75="",$D75=""),"",IF(AND(DATE($B$1,1,1)+(31-1)*7&lt;=$D75,DATE($B$1,1,1)+31*7-1&gt;=$C75),1,""))</f>
        <v/>
      </c>
      <c r="AJ75" s="10">
        <f>IF(OR($C75="",$D75=""),"",IF(AND(DATE($B$1,1,1)+(32-1)*7&lt;=$D75,DATE($B$1,1,1)+32*7-1&gt;=$C75),1,""))</f>
        <v/>
      </c>
      <c r="AK75" s="10">
        <f>IF(OR($C75="",$D75=""),"",IF(AND(DATE($B$1,1,1)+(33-1)*7&lt;=$D75,DATE($B$1,1,1)+33*7-1&gt;=$C75),1,""))</f>
        <v/>
      </c>
      <c r="AL75" s="10">
        <f>IF(OR($C75="",$D75=""),"",IF(AND(DATE($B$1,1,1)+(34-1)*7&lt;=$D75,DATE($B$1,1,1)+34*7-1&gt;=$C75),1,""))</f>
        <v/>
      </c>
      <c r="AM75" s="10">
        <f>IF(OR($C75="",$D75=""),"",IF(AND(DATE($B$1,1,1)+(35-1)*7&lt;=$D75,DATE($B$1,1,1)+35*7-1&gt;=$C75),1,""))</f>
        <v/>
      </c>
      <c r="AN75" s="10">
        <f>IF(OR($C75="",$D75=""),"",IF(AND(DATE($B$1,1,1)+(36-1)*7&lt;=$D75,DATE($B$1,1,1)+36*7-1&gt;=$C75),1,""))</f>
        <v/>
      </c>
      <c r="AO75" s="10">
        <f>IF(OR($C75="",$D75=""),"",IF(AND(DATE($B$1,1,1)+(37-1)*7&lt;=$D75,DATE($B$1,1,1)+37*7-1&gt;=$C75),1,""))</f>
        <v/>
      </c>
      <c r="AP75" s="10">
        <f>IF(OR($C75="",$D75=""),"",IF(AND(DATE($B$1,1,1)+(38-1)*7&lt;=$D75,DATE($B$1,1,1)+38*7-1&gt;=$C75),1,""))</f>
        <v/>
      </c>
      <c r="AQ75" s="10">
        <f>IF(OR($C75="",$D75=""),"",IF(AND(DATE($B$1,1,1)+(39-1)*7&lt;=$D75,DATE($B$1,1,1)+39*7-1&gt;=$C75),1,""))</f>
        <v/>
      </c>
      <c r="AR75" s="10">
        <f>IF(OR($C75="",$D75=""),"",IF(AND(DATE($B$1,1,1)+(40-1)*7&lt;=$D75,DATE($B$1,1,1)+40*7-1&gt;=$C75),1,""))</f>
        <v/>
      </c>
      <c r="AS75" s="10">
        <f>IF(OR($C75="",$D75=""),"",IF(AND(DATE($B$1,1,1)+(41-1)*7&lt;=$D75,DATE($B$1,1,1)+41*7-1&gt;=$C75),1,""))</f>
        <v/>
      </c>
      <c r="AT75" s="10">
        <f>IF(OR($C75="",$D75=""),"",IF(AND(DATE($B$1,1,1)+(42-1)*7&lt;=$D75,DATE($B$1,1,1)+42*7-1&gt;=$C75),1,""))</f>
        <v/>
      </c>
      <c r="AU75" s="10">
        <f>IF(OR($C75="",$D75=""),"",IF(AND(DATE($B$1,1,1)+(43-1)*7&lt;=$D75,DATE($B$1,1,1)+43*7-1&gt;=$C75),1,""))</f>
        <v/>
      </c>
      <c r="AV75" s="10">
        <f>IF(OR($C75="",$D75=""),"",IF(AND(DATE($B$1,1,1)+(44-1)*7&lt;=$D75,DATE($B$1,1,1)+44*7-1&gt;=$C75),1,""))</f>
        <v/>
      </c>
      <c r="AW75" s="10">
        <f>IF(OR($C75="",$D75=""),"",IF(AND(DATE($B$1,1,1)+(45-1)*7&lt;=$D75,DATE($B$1,1,1)+45*7-1&gt;=$C75),1,""))</f>
        <v/>
      </c>
      <c r="AX75" s="10">
        <f>IF(OR($C75="",$D75=""),"",IF(AND(DATE($B$1,1,1)+(46-1)*7&lt;=$D75,DATE($B$1,1,1)+46*7-1&gt;=$C75),1,""))</f>
        <v/>
      </c>
      <c r="AY75" s="10">
        <f>IF(OR($C75="",$D75=""),"",IF(AND(DATE($B$1,1,1)+(47-1)*7&lt;=$D75,DATE($B$1,1,1)+47*7-1&gt;=$C75),1,""))</f>
        <v/>
      </c>
      <c r="AZ75" s="10">
        <f>IF(OR($C75="",$D75=""),"",IF(AND(DATE($B$1,1,1)+(48-1)*7&lt;=$D75,DATE($B$1,1,1)+48*7-1&gt;=$C75),1,""))</f>
        <v/>
      </c>
      <c r="BA75" s="10">
        <f>IF(OR($C75="",$D75=""),"",IF(AND(DATE($B$1,1,1)+(49-1)*7&lt;=$D75,DATE($B$1,1,1)+49*7-1&gt;=$C75),1,""))</f>
        <v/>
      </c>
      <c r="BB75" s="10">
        <f>IF(OR($C75="",$D75=""),"",IF(AND(DATE($B$1,1,1)+(50-1)*7&lt;=$D75,DATE($B$1,1,1)+50*7-1&gt;=$C75),1,""))</f>
        <v/>
      </c>
      <c r="BC75" s="10">
        <f>IF(OR($C75="",$D75=""),"",IF(AND(DATE($B$1,1,1)+(51-1)*7&lt;=$D75,DATE($B$1,1,1)+51*7-1&gt;=$C75),1,""))</f>
        <v/>
      </c>
      <c r="BD75" s="10">
        <f>IF(OR($C75="",$D75=""),"",IF(AND(DATE($B$1,1,1)+(52-1)*7&lt;=$D75,DATE($B$1,1,1)+52*7-1&gt;=$C75),1,""))</f>
        <v/>
      </c>
      <c r="BE75" s="10">
        <f>IF(OR($C75="",$D75=""),"",IF(AND(DATE($B$1,1,1)+(53-1)*7&lt;=$D75,DATE($B$1,1,1)+53*7-1&gt;=$C75),1,""))</f>
        <v/>
      </c>
      <c r="BF75" s="10">
        <f>IF(OR($C75="",$D75=""),"",IF(AND(DATE($B$1,1,1)+(54-1)*7&lt;=$D75,DATE($B$1,1,1)+54*7-1&gt;=$C75),1,""))</f>
        <v/>
      </c>
    </row>
    <row r="76">
      <c r="A76" s="6" t="n"/>
      <c r="B76" s="6" t="n"/>
      <c r="C76" s="11" t="n"/>
      <c r="D76" s="11" t="n"/>
      <c r="E76" s="10">
        <f>IF(OR($C76="",$D76=""),"",IF(AND(DATE($B$1,1,1)+(1-1)*7&lt;=$D76,DATE($B$1,1,1)+1*7-1&gt;=$C76),1,""))</f>
        <v/>
      </c>
      <c r="F76" s="10">
        <f>IF(OR($C76="",$D76=""),"",IF(AND(DATE($B$1,1,1)+(2-1)*7&lt;=$D76,DATE($B$1,1,1)+2*7-1&gt;=$C76),1,""))</f>
        <v/>
      </c>
      <c r="G76" s="10">
        <f>IF(OR($C76="",$D76=""),"",IF(AND(DATE($B$1,1,1)+(3-1)*7&lt;=$D76,DATE($B$1,1,1)+3*7-1&gt;=$C76),1,""))</f>
        <v/>
      </c>
      <c r="H76" s="10">
        <f>IF(OR($C76="",$D76=""),"",IF(AND(DATE($B$1,1,1)+(4-1)*7&lt;=$D76,DATE($B$1,1,1)+4*7-1&gt;=$C76),1,""))</f>
        <v/>
      </c>
      <c r="I76" s="10">
        <f>IF(OR($C76="",$D76=""),"",IF(AND(DATE($B$1,1,1)+(5-1)*7&lt;=$D76,DATE($B$1,1,1)+5*7-1&gt;=$C76),1,""))</f>
        <v/>
      </c>
      <c r="J76" s="10">
        <f>IF(OR($C76="",$D76=""),"",IF(AND(DATE($B$1,1,1)+(6-1)*7&lt;=$D76,DATE($B$1,1,1)+6*7-1&gt;=$C76),1,""))</f>
        <v/>
      </c>
      <c r="K76" s="10">
        <f>IF(OR($C76="",$D76=""),"",IF(AND(DATE($B$1,1,1)+(7-1)*7&lt;=$D76,DATE($B$1,1,1)+7*7-1&gt;=$C76),1,""))</f>
        <v/>
      </c>
      <c r="L76" s="10">
        <f>IF(OR($C76="",$D76=""),"",IF(AND(DATE($B$1,1,1)+(8-1)*7&lt;=$D76,DATE($B$1,1,1)+8*7-1&gt;=$C76),1,""))</f>
        <v/>
      </c>
      <c r="M76" s="10">
        <f>IF(OR($C76="",$D76=""),"",IF(AND(DATE($B$1,1,1)+(9-1)*7&lt;=$D76,DATE($B$1,1,1)+9*7-1&gt;=$C76),1,""))</f>
        <v/>
      </c>
      <c r="N76" s="10">
        <f>IF(OR($C76="",$D76=""),"",IF(AND(DATE($B$1,1,1)+(10-1)*7&lt;=$D76,DATE($B$1,1,1)+10*7-1&gt;=$C76),1,""))</f>
        <v/>
      </c>
      <c r="O76" s="10">
        <f>IF(OR($C76="",$D76=""),"",IF(AND(DATE($B$1,1,1)+(11-1)*7&lt;=$D76,DATE($B$1,1,1)+11*7-1&gt;=$C76),1,""))</f>
        <v/>
      </c>
      <c r="P76" s="10">
        <f>IF(OR($C76="",$D76=""),"",IF(AND(DATE($B$1,1,1)+(12-1)*7&lt;=$D76,DATE($B$1,1,1)+12*7-1&gt;=$C76),1,""))</f>
        <v/>
      </c>
      <c r="Q76" s="10">
        <f>IF(OR($C76="",$D76=""),"",IF(AND(DATE($B$1,1,1)+(13-1)*7&lt;=$D76,DATE($B$1,1,1)+13*7-1&gt;=$C76),1,""))</f>
        <v/>
      </c>
      <c r="R76" s="10">
        <f>IF(OR($C76="",$D76=""),"",IF(AND(DATE($B$1,1,1)+(14-1)*7&lt;=$D76,DATE($B$1,1,1)+14*7-1&gt;=$C76),1,""))</f>
        <v/>
      </c>
      <c r="S76" s="10">
        <f>IF(OR($C76="",$D76=""),"",IF(AND(DATE($B$1,1,1)+(15-1)*7&lt;=$D76,DATE($B$1,1,1)+15*7-1&gt;=$C76),1,""))</f>
        <v/>
      </c>
      <c r="T76" s="10">
        <f>IF(OR($C76="",$D76=""),"",IF(AND(DATE($B$1,1,1)+(16-1)*7&lt;=$D76,DATE($B$1,1,1)+16*7-1&gt;=$C76),1,""))</f>
        <v/>
      </c>
      <c r="U76" s="10">
        <f>IF(OR($C76="",$D76=""),"",IF(AND(DATE($B$1,1,1)+(17-1)*7&lt;=$D76,DATE($B$1,1,1)+17*7-1&gt;=$C76),1,""))</f>
        <v/>
      </c>
      <c r="V76" s="10">
        <f>IF(OR($C76="",$D76=""),"",IF(AND(DATE($B$1,1,1)+(18-1)*7&lt;=$D76,DATE($B$1,1,1)+18*7-1&gt;=$C76),1,""))</f>
        <v/>
      </c>
      <c r="W76" s="10">
        <f>IF(OR($C76="",$D76=""),"",IF(AND(DATE($B$1,1,1)+(19-1)*7&lt;=$D76,DATE($B$1,1,1)+19*7-1&gt;=$C76),1,""))</f>
        <v/>
      </c>
      <c r="X76" s="10">
        <f>IF(OR($C76="",$D76=""),"",IF(AND(DATE($B$1,1,1)+(20-1)*7&lt;=$D76,DATE($B$1,1,1)+20*7-1&gt;=$C76),1,""))</f>
        <v/>
      </c>
      <c r="Y76" s="10">
        <f>IF(OR($C76="",$D76=""),"",IF(AND(DATE($B$1,1,1)+(21-1)*7&lt;=$D76,DATE($B$1,1,1)+21*7-1&gt;=$C76),1,""))</f>
        <v/>
      </c>
      <c r="Z76" s="10">
        <f>IF(OR($C76="",$D76=""),"",IF(AND(DATE($B$1,1,1)+(22-1)*7&lt;=$D76,DATE($B$1,1,1)+22*7-1&gt;=$C76),1,""))</f>
        <v/>
      </c>
      <c r="AA76" s="10">
        <f>IF(OR($C76="",$D76=""),"",IF(AND(DATE($B$1,1,1)+(23-1)*7&lt;=$D76,DATE($B$1,1,1)+23*7-1&gt;=$C76),1,""))</f>
        <v/>
      </c>
      <c r="AB76" s="10">
        <f>IF(OR($C76="",$D76=""),"",IF(AND(DATE($B$1,1,1)+(24-1)*7&lt;=$D76,DATE($B$1,1,1)+24*7-1&gt;=$C76),1,""))</f>
        <v/>
      </c>
      <c r="AC76" s="10">
        <f>IF(OR($C76="",$D76=""),"",IF(AND(DATE($B$1,1,1)+(25-1)*7&lt;=$D76,DATE($B$1,1,1)+25*7-1&gt;=$C76),1,""))</f>
        <v/>
      </c>
      <c r="AD76" s="10">
        <f>IF(OR($C76="",$D76=""),"",IF(AND(DATE($B$1,1,1)+(26-1)*7&lt;=$D76,DATE($B$1,1,1)+26*7-1&gt;=$C76),1,""))</f>
        <v/>
      </c>
      <c r="AE76" s="10">
        <f>IF(OR($C76="",$D76=""),"",IF(AND(DATE($B$1,1,1)+(27-1)*7&lt;=$D76,DATE($B$1,1,1)+27*7-1&gt;=$C76),1,""))</f>
        <v/>
      </c>
      <c r="AF76" s="10">
        <f>IF(OR($C76="",$D76=""),"",IF(AND(DATE($B$1,1,1)+(28-1)*7&lt;=$D76,DATE($B$1,1,1)+28*7-1&gt;=$C76),1,""))</f>
        <v/>
      </c>
      <c r="AG76" s="10">
        <f>IF(OR($C76="",$D76=""),"",IF(AND(DATE($B$1,1,1)+(29-1)*7&lt;=$D76,DATE($B$1,1,1)+29*7-1&gt;=$C76),1,""))</f>
        <v/>
      </c>
      <c r="AH76" s="10">
        <f>IF(OR($C76="",$D76=""),"",IF(AND(DATE($B$1,1,1)+(30-1)*7&lt;=$D76,DATE($B$1,1,1)+30*7-1&gt;=$C76),1,""))</f>
        <v/>
      </c>
      <c r="AI76" s="10">
        <f>IF(OR($C76="",$D76=""),"",IF(AND(DATE($B$1,1,1)+(31-1)*7&lt;=$D76,DATE($B$1,1,1)+31*7-1&gt;=$C76),1,""))</f>
        <v/>
      </c>
      <c r="AJ76" s="10">
        <f>IF(OR($C76="",$D76=""),"",IF(AND(DATE($B$1,1,1)+(32-1)*7&lt;=$D76,DATE($B$1,1,1)+32*7-1&gt;=$C76),1,""))</f>
        <v/>
      </c>
      <c r="AK76" s="10">
        <f>IF(OR($C76="",$D76=""),"",IF(AND(DATE($B$1,1,1)+(33-1)*7&lt;=$D76,DATE($B$1,1,1)+33*7-1&gt;=$C76),1,""))</f>
        <v/>
      </c>
      <c r="AL76" s="10">
        <f>IF(OR($C76="",$D76=""),"",IF(AND(DATE($B$1,1,1)+(34-1)*7&lt;=$D76,DATE($B$1,1,1)+34*7-1&gt;=$C76),1,""))</f>
        <v/>
      </c>
      <c r="AM76" s="10">
        <f>IF(OR($C76="",$D76=""),"",IF(AND(DATE($B$1,1,1)+(35-1)*7&lt;=$D76,DATE($B$1,1,1)+35*7-1&gt;=$C76),1,""))</f>
        <v/>
      </c>
      <c r="AN76" s="10">
        <f>IF(OR($C76="",$D76=""),"",IF(AND(DATE($B$1,1,1)+(36-1)*7&lt;=$D76,DATE($B$1,1,1)+36*7-1&gt;=$C76),1,""))</f>
        <v/>
      </c>
      <c r="AO76" s="10">
        <f>IF(OR($C76="",$D76=""),"",IF(AND(DATE($B$1,1,1)+(37-1)*7&lt;=$D76,DATE($B$1,1,1)+37*7-1&gt;=$C76),1,""))</f>
        <v/>
      </c>
      <c r="AP76" s="10">
        <f>IF(OR($C76="",$D76=""),"",IF(AND(DATE($B$1,1,1)+(38-1)*7&lt;=$D76,DATE($B$1,1,1)+38*7-1&gt;=$C76),1,""))</f>
        <v/>
      </c>
      <c r="AQ76" s="10">
        <f>IF(OR($C76="",$D76=""),"",IF(AND(DATE($B$1,1,1)+(39-1)*7&lt;=$D76,DATE($B$1,1,1)+39*7-1&gt;=$C76),1,""))</f>
        <v/>
      </c>
      <c r="AR76" s="10">
        <f>IF(OR($C76="",$D76=""),"",IF(AND(DATE($B$1,1,1)+(40-1)*7&lt;=$D76,DATE($B$1,1,1)+40*7-1&gt;=$C76),1,""))</f>
        <v/>
      </c>
      <c r="AS76" s="10">
        <f>IF(OR($C76="",$D76=""),"",IF(AND(DATE($B$1,1,1)+(41-1)*7&lt;=$D76,DATE($B$1,1,1)+41*7-1&gt;=$C76),1,""))</f>
        <v/>
      </c>
      <c r="AT76" s="10">
        <f>IF(OR($C76="",$D76=""),"",IF(AND(DATE($B$1,1,1)+(42-1)*7&lt;=$D76,DATE($B$1,1,1)+42*7-1&gt;=$C76),1,""))</f>
        <v/>
      </c>
      <c r="AU76" s="10">
        <f>IF(OR($C76="",$D76=""),"",IF(AND(DATE($B$1,1,1)+(43-1)*7&lt;=$D76,DATE($B$1,1,1)+43*7-1&gt;=$C76),1,""))</f>
        <v/>
      </c>
      <c r="AV76" s="10">
        <f>IF(OR($C76="",$D76=""),"",IF(AND(DATE($B$1,1,1)+(44-1)*7&lt;=$D76,DATE($B$1,1,1)+44*7-1&gt;=$C76),1,""))</f>
        <v/>
      </c>
      <c r="AW76" s="10">
        <f>IF(OR($C76="",$D76=""),"",IF(AND(DATE($B$1,1,1)+(45-1)*7&lt;=$D76,DATE($B$1,1,1)+45*7-1&gt;=$C76),1,""))</f>
        <v/>
      </c>
      <c r="AX76" s="10">
        <f>IF(OR($C76="",$D76=""),"",IF(AND(DATE($B$1,1,1)+(46-1)*7&lt;=$D76,DATE($B$1,1,1)+46*7-1&gt;=$C76),1,""))</f>
        <v/>
      </c>
      <c r="AY76" s="10">
        <f>IF(OR($C76="",$D76=""),"",IF(AND(DATE($B$1,1,1)+(47-1)*7&lt;=$D76,DATE($B$1,1,1)+47*7-1&gt;=$C76),1,""))</f>
        <v/>
      </c>
      <c r="AZ76" s="10">
        <f>IF(OR($C76="",$D76=""),"",IF(AND(DATE($B$1,1,1)+(48-1)*7&lt;=$D76,DATE($B$1,1,1)+48*7-1&gt;=$C76),1,""))</f>
        <v/>
      </c>
      <c r="BA76" s="10">
        <f>IF(OR($C76="",$D76=""),"",IF(AND(DATE($B$1,1,1)+(49-1)*7&lt;=$D76,DATE($B$1,1,1)+49*7-1&gt;=$C76),1,""))</f>
        <v/>
      </c>
      <c r="BB76" s="10">
        <f>IF(OR($C76="",$D76=""),"",IF(AND(DATE($B$1,1,1)+(50-1)*7&lt;=$D76,DATE($B$1,1,1)+50*7-1&gt;=$C76),1,""))</f>
        <v/>
      </c>
      <c r="BC76" s="10">
        <f>IF(OR($C76="",$D76=""),"",IF(AND(DATE($B$1,1,1)+(51-1)*7&lt;=$D76,DATE($B$1,1,1)+51*7-1&gt;=$C76),1,""))</f>
        <v/>
      </c>
      <c r="BD76" s="10">
        <f>IF(OR($C76="",$D76=""),"",IF(AND(DATE($B$1,1,1)+(52-1)*7&lt;=$D76,DATE($B$1,1,1)+52*7-1&gt;=$C76),1,""))</f>
        <v/>
      </c>
      <c r="BE76" s="10">
        <f>IF(OR($C76="",$D76=""),"",IF(AND(DATE($B$1,1,1)+(53-1)*7&lt;=$D76,DATE($B$1,1,1)+53*7-1&gt;=$C76),1,""))</f>
        <v/>
      </c>
      <c r="BF76" s="10">
        <f>IF(OR($C76="",$D76=""),"",IF(AND(DATE($B$1,1,1)+(54-1)*7&lt;=$D76,DATE($B$1,1,1)+54*7-1&gt;=$C76),1,""))</f>
        <v/>
      </c>
    </row>
    <row r="77">
      <c r="A77" s="6" t="n"/>
      <c r="B77" s="6" t="n"/>
      <c r="C77" s="11" t="n"/>
      <c r="D77" s="11" t="n"/>
      <c r="E77" s="10">
        <f>IF(OR($C77="",$D77=""),"",IF(AND(DATE($B$1,1,1)+(1-1)*7&lt;=$D77,DATE($B$1,1,1)+1*7-1&gt;=$C77),1,""))</f>
        <v/>
      </c>
      <c r="F77" s="10">
        <f>IF(OR($C77="",$D77=""),"",IF(AND(DATE($B$1,1,1)+(2-1)*7&lt;=$D77,DATE($B$1,1,1)+2*7-1&gt;=$C77),1,""))</f>
        <v/>
      </c>
      <c r="G77" s="10">
        <f>IF(OR($C77="",$D77=""),"",IF(AND(DATE($B$1,1,1)+(3-1)*7&lt;=$D77,DATE($B$1,1,1)+3*7-1&gt;=$C77),1,""))</f>
        <v/>
      </c>
      <c r="H77" s="10">
        <f>IF(OR($C77="",$D77=""),"",IF(AND(DATE($B$1,1,1)+(4-1)*7&lt;=$D77,DATE($B$1,1,1)+4*7-1&gt;=$C77),1,""))</f>
        <v/>
      </c>
      <c r="I77" s="10">
        <f>IF(OR($C77="",$D77=""),"",IF(AND(DATE($B$1,1,1)+(5-1)*7&lt;=$D77,DATE($B$1,1,1)+5*7-1&gt;=$C77),1,""))</f>
        <v/>
      </c>
      <c r="J77" s="10">
        <f>IF(OR($C77="",$D77=""),"",IF(AND(DATE($B$1,1,1)+(6-1)*7&lt;=$D77,DATE($B$1,1,1)+6*7-1&gt;=$C77),1,""))</f>
        <v/>
      </c>
      <c r="K77" s="10">
        <f>IF(OR($C77="",$D77=""),"",IF(AND(DATE($B$1,1,1)+(7-1)*7&lt;=$D77,DATE($B$1,1,1)+7*7-1&gt;=$C77),1,""))</f>
        <v/>
      </c>
      <c r="L77" s="10">
        <f>IF(OR($C77="",$D77=""),"",IF(AND(DATE($B$1,1,1)+(8-1)*7&lt;=$D77,DATE($B$1,1,1)+8*7-1&gt;=$C77),1,""))</f>
        <v/>
      </c>
      <c r="M77" s="10">
        <f>IF(OR($C77="",$D77=""),"",IF(AND(DATE($B$1,1,1)+(9-1)*7&lt;=$D77,DATE($B$1,1,1)+9*7-1&gt;=$C77),1,""))</f>
        <v/>
      </c>
      <c r="N77" s="10">
        <f>IF(OR($C77="",$D77=""),"",IF(AND(DATE($B$1,1,1)+(10-1)*7&lt;=$D77,DATE($B$1,1,1)+10*7-1&gt;=$C77),1,""))</f>
        <v/>
      </c>
      <c r="O77" s="10">
        <f>IF(OR($C77="",$D77=""),"",IF(AND(DATE($B$1,1,1)+(11-1)*7&lt;=$D77,DATE($B$1,1,1)+11*7-1&gt;=$C77),1,""))</f>
        <v/>
      </c>
      <c r="P77" s="10">
        <f>IF(OR($C77="",$D77=""),"",IF(AND(DATE($B$1,1,1)+(12-1)*7&lt;=$D77,DATE($B$1,1,1)+12*7-1&gt;=$C77),1,""))</f>
        <v/>
      </c>
      <c r="Q77" s="10">
        <f>IF(OR($C77="",$D77=""),"",IF(AND(DATE($B$1,1,1)+(13-1)*7&lt;=$D77,DATE($B$1,1,1)+13*7-1&gt;=$C77),1,""))</f>
        <v/>
      </c>
      <c r="R77" s="10">
        <f>IF(OR($C77="",$D77=""),"",IF(AND(DATE($B$1,1,1)+(14-1)*7&lt;=$D77,DATE($B$1,1,1)+14*7-1&gt;=$C77),1,""))</f>
        <v/>
      </c>
      <c r="S77" s="10">
        <f>IF(OR($C77="",$D77=""),"",IF(AND(DATE($B$1,1,1)+(15-1)*7&lt;=$D77,DATE($B$1,1,1)+15*7-1&gt;=$C77),1,""))</f>
        <v/>
      </c>
      <c r="T77" s="10">
        <f>IF(OR($C77="",$D77=""),"",IF(AND(DATE($B$1,1,1)+(16-1)*7&lt;=$D77,DATE($B$1,1,1)+16*7-1&gt;=$C77),1,""))</f>
        <v/>
      </c>
      <c r="U77" s="10">
        <f>IF(OR($C77="",$D77=""),"",IF(AND(DATE($B$1,1,1)+(17-1)*7&lt;=$D77,DATE($B$1,1,1)+17*7-1&gt;=$C77),1,""))</f>
        <v/>
      </c>
      <c r="V77" s="10">
        <f>IF(OR($C77="",$D77=""),"",IF(AND(DATE($B$1,1,1)+(18-1)*7&lt;=$D77,DATE($B$1,1,1)+18*7-1&gt;=$C77),1,""))</f>
        <v/>
      </c>
      <c r="W77" s="10">
        <f>IF(OR($C77="",$D77=""),"",IF(AND(DATE($B$1,1,1)+(19-1)*7&lt;=$D77,DATE($B$1,1,1)+19*7-1&gt;=$C77),1,""))</f>
        <v/>
      </c>
      <c r="X77" s="10">
        <f>IF(OR($C77="",$D77=""),"",IF(AND(DATE($B$1,1,1)+(20-1)*7&lt;=$D77,DATE($B$1,1,1)+20*7-1&gt;=$C77),1,""))</f>
        <v/>
      </c>
      <c r="Y77" s="10">
        <f>IF(OR($C77="",$D77=""),"",IF(AND(DATE($B$1,1,1)+(21-1)*7&lt;=$D77,DATE($B$1,1,1)+21*7-1&gt;=$C77),1,""))</f>
        <v/>
      </c>
      <c r="Z77" s="10">
        <f>IF(OR($C77="",$D77=""),"",IF(AND(DATE($B$1,1,1)+(22-1)*7&lt;=$D77,DATE($B$1,1,1)+22*7-1&gt;=$C77),1,""))</f>
        <v/>
      </c>
      <c r="AA77" s="10">
        <f>IF(OR($C77="",$D77=""),"",IF(AND(DATE($B$1,1,1)+(23-1)*7&lt;=$D77,DATE($B$1,1,1)+23*7-1&gt;=$C77),1,""))</f>
        <v/>
      </c>
      <c r="AB77" s="10">
        <f>IF(OR($C77="",$D77=""),"",IF(AND(DATE($B$1,1,1)+(24-1)*7&lt;=$D77,DATE($B$1,1,1)+24*7-1&gt;=$C77),1,""))</f>
        <v/>
      </c>
      <c r="AC77" s="10">
        <f>IF(OR($C77="",$D77=""),"",IF(AND(DATE($B$1,1,1)+(25-1)*7&lt;=$D77,DATE($B$1,1,1)+25*7-1&gt;=$C77),1,""))</f>
        <v/>
      </c>
      <c r="AD77" s="10">
        <f>IF(OR($C77="",$D77=""),"",IF(AND(DATE($B$1,1,1)+(26-1)*7&lt;=$D77,DATE($B$1,1,1)+26*7-1&gt;=$C77),1,""))</f>
        <v/>
      </c>
      <c r="AE77" s="10">
        <f>IF(OR($C77="",$D77=""),"",IF(AND(DATE($B$1,1,1)+(27-1)*7&lt;=$D77,DATE($B$1,1,1)+27*7-1&gt;=$C77),1,""))</f>
        <v/>
      </c>
      <c r="AF77" s="10">
        <f>IF(OR($C77="",$D77=""),"",IF(AND(DATE($B$1,1,1)+(28-1)*7&lt;=$D77,DATE($B$1,1,1)+28*7-1&gt;=$C77),1,""))</f>
        <v/>
      </c>
      <c r="AG77" s="10">
        <f>IF(OR($C77="",$D77=""),"",IF(AND(DATE($B$1,1,1)+(29-1)*7&lt;=$D77,DATE($B$1,1,1)+29*7-1&gt;=$C77),1,""))</f>
        <v/>
      </c>
      <c r="AH77" s="10">
        <f>IF(OR($C77="",$D77=""),"",IF(AND(DATE($B$1,1,1)+(30-1)*7&lt;=$D77,DATE($B$1,1,1)+30*7-1&gt;=$C77),1,""))</f>
        <v/>
      </c>
      <c r="AI77" s="10">
        <f>IF(OR($C77="",$D77=""),"",IF(AND(DATE($B$1,1,1)+(31-1)*7&lt;=$D77,DATE($B$1,1,1)+31*7-1&gt;=$C77),1,""))</f>
        <v/>
      </c>
      <c r="AJ77" s="10">
        <f>IF(OR($C77="",$D77=""),"",IF(AND(DATE($B$1,1,1)+(32-1)*7&lt;=$D77,DATE($B$1,1,1)+32*7-1&gt;=$C77),1,""))</f>
        <v/>
      </c>
      <c r="AK77" s="10">
        <f>IF(OR($C77="",$D77=""),"",IF(AND(DATE($B$1,1,1)+(33-1)*7&lt;=$D77,DATE($B$1,1,1)+33*7-1&gt;=$C77),1,""))</f>
        <v/>
      </c>
      <c r="AL77" s="10">
        <f>IF(OR($C77="",$D77=""),"",IF(AND(DATE($B$1,1,1)+(34-1)*7&lt;=$D77,DATE($B$1,1,1)+34*7-1&gt;=$C77),1,""))</f>
        <v/>
      </c>
      <c r="AM77" s="10">
        <f>IF(OR($C77="",$D77=""),"",IF(AND(DATE($B$1,1,1)+(35-1)*7&lt;=$D77,DATE($B$1,1,1)+35*7-1&gt;=$C77),1,""))</f>
        <v/>
      </c>
      <c r="AN77" s="10">
        <f>IF(OR($C77="",$D77=""),"",IF(AND(DATE($B$1,1,1)+(36-1)*7&lt;=$D77,DATE($B$1,1,1)+36*7-1&gt;=$C77),1,""))</f>
        <v/>
      </c>
      <c r="AO77" s="10">
        <f>IF(OR($C77="",$D77=""),"",IF(AND(DATE($B$1,1,1)+(37-1)*7&lt;=$D77,DATE($B$1,1,1)+37*7-1&gt;=$C77),1,""))</f>
        <v/>
      </c>
      <c r="AP77" s="10">
        <f>IF(OR($C77="",$D77=""),"",IF(AND(DATE($B$1,1,1)+(38-1)*7&lt;=$D77,DATE($B$1,1,1)+38*7-1&gt;=$C77),1,""))</f>
        <v/>
      </c>
      <c r="AQ77" s="10">
        <f>IF(OR($C77="",$D77=""),"",IF(AND(DATE($B$1,1,1)+(39-1)*7&lt;=$D77,DATE($B$1,1,1)+39*7-1&gt;=$C77),1,""))</f>
        <v/>
      </c>
      <c r="AR77" s="10">
        <f>IF(OR($C77="",$D77=""),"",IF(AND(DATE($B$1,1,1)+(40-1)*7&lt;=$D77,DATE($B$1,1,1)+40*7-1&gt;=$C77),1,""))</f>
        <v/>
      </c>
      <c r="AS77" s="10">
        <f>IF(OR($C77="",$D77=""),"",IF(AND(DATE($B$1,1,1)+(41-1)*7&lt;=$D77,DATE($B$1,1,1)+41*7-1&gt;=$C77),1,""))</f>
        <v/>
      </c>
      <c r="AT77" s="10">
        <f>IF(OR($C77="",$D77=""),"",IF(AND(DATE($B$1,1,1)+(42-1)*7&lt;=$D77,DATE($B$1,1,1)+42*7-1&gt;=$C77),1,""))</f>
        <v/>
      </c>
      <c r="AU77" s="10">
        <f>IF(OR($C77="",$D77=""),"",IF(AND(DATE($B$1,1,1)+(43-1)*7&lt;=$D77,DATE($B$1,1,1)+43*7-1&gt;=$C77),1,""))</f>
        <v/>
      </c>
      <c r="AV77" s="10">
        <f>IF(OR($C77="",$D77=""),"",IF(AND(DATE($B$1,1,1)+(44-1)*7&lt;=$D77,DATE($B$1,1,1)+44*7-1&gt;=$C77),1,""))</f>
        <v/>
      </c>
      <c r="AW77" s="10">
        <f>IF(OR($C77="",$D77=""),"",IF(AND(DATE($B$1,1,1)+(45-1)*7&lt;=$D77,DATE($B$1,1,1)+45*7-1&gt;=$C77),1,""))</f>
        <v/>
      </c>
      <c r="AX77" s="10">
        <f>IF(OR($C77="",$D77=""),"",IF(AND(DATE($B$1,1,1)+(46-1)*7&lt;=$D77,DATE($B$1,1,1)+46*7-1&gt;=$C77),1,""))</f>
        <v/>
      </c>
      <c r="AY77" s="10">
        <f>IF(OR($C77="",$D77=""),"",IF(AND(DATE($B$1,1,1)+(47-1)*7&lt;=$D77,DATE($B$1,1,1)+47*7-1&gt;=$C77),1,""))</f>
        <v/>
      </c>
      <c r="AZ77" s="10">
        <f>IF(OR($C77="",$D77=""),"",IF(AND(DATE($B$1,1,1)+(48-1)*7&lt;=$D77,DATE($B$1,1,1)+48*7-1&gt;=$C77),1,""))</f>
        <v/>
      </c>
      <c r="BA77" s="10">
        <f>IF(OR($C77="",$D77=""),"",IF(AND(DATE($B$1,1,1)+(49-1)*7&lt;=$D77,DATE($B$1,1,1)+49*7-1&gt;=$C77),1,""))</f>
        <v/>
      </c>
      <c r="BB77" s="10">
        <f>IF(OR($C77="",$D77=""),"",IF(AND(DATE($B$1,1,1)+(50-1)*7&lt;=$D77,DATE($B$1,1,1)+50*7-1&gt;=$C77),1,""))</f>
        <v/>
      </c>
      <c r="BC77" s="10">
        <f>IF(OR($C77="",$D77=""),"",IF(AND(DATE($B$1,1,1)+(51-1)*7&lt;=$D77,DATE($B$1,1,1)+51*7-1&gt;=$C77),1,""))</f>
        <v/>
      </c>
      <c r="BD77" s="10">
        <f>IF(OR($C77="",$D77=""),"",IF(AND(DATE($B$1,1,1)+(52-1)*7&lt;=$D77,DATE($B$1,1,1)+52*7-1&gt;=$C77),1,""))</f>
        <v/>
      </c>
      <c r="BE77" s="10">
        <f>IF(OR($C77="",$D77=""),"",IF(AND(DATE($B$1,1,1)+(53-1)*7&lt;=$D77,DATE($B$1,1,1)+53*7-1&gt;=$C77),1,""))</f>
        <v/>
      </c>
      <c r="BF77" s="10">
        <f>IF(OR($C77="",$D77=""),"",IF(AND(DATE($B$1,1,1)+(54-1)*7&lt;=$D77,DATE($B$1,1,1)+54*7-1&gt;=$C77),1,""))</f>
        <v/>
      </c>
    </row>
    <row r="78">
      <c r="A78" s="6" t="n"/>
      <c r="B78" s="6" t="n"/>
      <c r="C78" s="11" t="n"/>
      <c r="D78" s="11" t="n"/>
      <c r="E78" s="10">
        <f>IF(OR($C78="",$D78=""),"",IF(AND(DATE($B$1,1,1)+(1-1)*7&lt;=$D78,DATE($B$1,1,1)+1*7-1&gt;=$C78),1,""))</f>
        <v/>
      </c>
      <c r="F78" s="10">
        <f>IF(OR($C78="",$D78=""),"",IF(AND(DATE($B$1,1,1)+(2-1)*7&lt;=$D78,DATE($B$1,1,1)+2*7-1&gt;=$C78),1,""))</f>
        <v/>
      </c>
      <c r="G78" s="10">
        <f>IF(OR($C78="",$D78=""),"",IF(AND(DATE($B$1,1,1)+(3-1)*7&lt;=$D78,DATE($B$1,1,1)+3*7-1&gt;=$C78),1,""))</f>
        <v/>
      </c>
      <c r="H78" s="10">
        <f>IF(OR($C78="",$D78=""),"",IF(AND(DATE($B$1,1,1)+(4-1)*7&lt;=$D78,DATE($B$1,1,1)+4*7-1&gt;=$C78),1,""))</f>
        <v/>
      </c>
      <c r="I78" s="10">
        <f>IF(OR($C78="",$D78=""),"",IF(AND(DATE($B$1,1,1)+(5-1)*7&lt;=$D78,DATE($B$1,1,1)+5*7-1&gt;=$C78),1,""))</f>
        <v/>
      </c>
      <c r="J78" s="10">
        <f>IF(OR($C78="",$D78=""),"",IF(AND(DATE($B$1,1,1)+(6-1)*7&lt;=$D78,DATE($B$1,1,1)+6*7-1&gt;=$C78),1,""))</f>
        <v/>
      </c>
      <c r="K78" s="10">
        <f>IF(OR($C78="",$D78=""),"",IF(AND(DATE($B$1,1,1)+(7-1)*7&lt;=$D78,DATE($B$1,1,1)+7*7-1&gt;=$C78),1,""))</f>
        <v/>
      </c>
      <c r="L78" s="10">
        <f>IF(OR($C78="",$D78=""),"",IF(AND(DATE($B$1,1,1)+(8-1)*7&lt;=$D78,DATE($B$1,1,1)+8*7-1&gt;=$C78),1,""))</f>
        <v/>
      </c>
      <c r="M78" s="10">
        <f>IF(OR($C78="",$D78=""),"",IF(AND(DATE($B$1,1,1)+(9-1)*7&lt;=$D78,DATE($B$1,1,1)+9*7-1&gt;=$C78),1,""))</f>
        <v/>
      </c>
      <c r="N78" s="10">
        <f>IF(OR($C78="",$D78=""),"",IF(AND(DATE($B$1,1,1)+(10-1)*7&lt;=$D78,DATE($B$1,1,1)+10*7-1&gt;=$C78),1,""))</f>
        <v/>
      </c>
      <c r="O78" s="10">
        <f>IF(OR($C78="",$D78=""),"",IF(AND(DATE($B$1,1,1)+(11-1)*7&lt;=$D78,DATE($B$1,1,1)+11*7-1&gt;=$C78),1,""))</f>
        <v/>
      </c>
      <c r="P78" s="10">
        <f>IF(OR($C78="",$D78=""),"",IF(AND(DATE($B$1,1,1)+(12-1)*7&lt;=$D78,DATE($B$1,1,1)+12*7-1&gt;=$C78),1,""))</f>
        <v/>
      </c>
      <c r="Q78" s="10">
        <f>IF(OR($C78="",$D78=""),"",IF(AND(DATE($B$1,1,1)+(13-1)*7&lt;=$D78,DATE($B$1,1,1)+13*7-1&gt;=$C78),1,""))</f>
        <v/>
      </c>
      <c r="R78" s="10">
        <f>IF(OR($C78="",$D78=""),"",IF(AND(DATE($B$1,1,1)+(14-1)*7&lt;=$D78,DATE($B$1,1,1)+14*7-1&gt;=$C78),1,""))</f>
        <v/>
      </c>
      <c r="S78" s="10">
        <f>IF(OR($C78="",$D78=""),"",IF(AND(DATE($B$1,1,1)+(15-1)*7&lt;=$D78,DATE($B$1,1,1)+15*7-1&gt;=$C78),1,""))</f>
        <v/>
      </c>
      <c r="T78" s="10">
        <f>IF(OR($C78="",$D78=""),"",IF(AND(DATE($B$1,1,1)+(16-1)*7&lt;=$D78,DATE($B$1,1,1)+16*7-1&gt;=$C78),1,""))</f>
        <v/>
      </c>
      <c r="U78" s="10">
        <f>IF(OR($C78="",$D78=""),"",IF(AND(DATE($B$1,1,1)+(17-1)*7&lt;=$D78,DATE($B$1,1,1)+17*7-1&gt;=$C78),1,""))</f>
        <v/>
      </c>
      <c r="V78" s="10">
        <f>IF(OR($C78="",$D78=""),"",IF(AND(DATE($B$1,1,1)+(18-1)*7&lt;=$D78,DATE($B$1,1,1)+18*7-1&gt;=$C78),1,""))</f>
        <v/>
      </c>
      <c r="W78" s="10">
        <f>IF(OR($C78="",$D78=""),"",IF(AND(DATE($B$1,1,1)+(19-1)*7&lt;=$D78,DATE($B$1,1,1)+19*7-1&gt;=$C78),1,""))</f>
        <v/>
      </c>
      <c r="X78" s="10">
        <f>IF(OR($C78="",$D78=""),"",IF(AND(DATE($B$1,1,1)+(20-1)*7&lt;=$D78,DATE($B$1,1,1)+20*7-1&gt;=$C78),1,""))</f>
        <v/>
      </c>
      <c r="Y78" s="10">
        <f>IF(OR($C78="",$D78=""),"",IF(AND(DATE($B$1,1,1)+(21-1)*7&lt;=$D78,DATE($B$1,1,1)+21*7-1&gt;=$C78),1,""))</f>
        <v/>
      </c>
      <c r="Z78" s="10">
        <f>IF(OR($C78="",$D78=""),"",IF(AND(DATE($B$1,1,1)+(22-1)*7&lt;=$D78,DATE($B$1,1,1)+22*7-1&gt;=$C78),1,""))</f>
        <v/>
      </c>
      <c r="AA78" s="10">
        <f>IF(OR($C78="",$D78=""),"",IF(AND(DATE($B$1,1,1)+(23-1)*7&lt;=$D78,DATE($B$1,1,1)+23*7-1&gt;=$C78),1,""))</f>
        <v/>
      </c>
      <c r="AB78" s="10">
        <f>IF(OR($C78="",$D78=""),"",IF(AND(DATE($B$1,1,1)+(24-1)*7&lt;=$D78,DATE($B$1,1,1)+24*7-1&gt;=$C78),1,""))</f>
        <v/>
      </c>
      <c r="AC78" s="10">
        <f>IF(OR($C78="",$D78=""),"",IF(AND(DATE($B$1,1,1)+(25-1)*7&lt;=$D78,DATE($B$1,1,1)+25*7-1&gt;=$C78),1,""))</f>
        <v/>
      </c>
      <c r="AD78" s="10">
        <f>IF(OR($C78="",$D78=""),"",IF(AND(DATE($B$1,1,1)+(26-1)*7&lt;=$D78,DATE($B$1,1,1)+26*7-1&gt;=$C78),1,""))</f>
        <v/>
      </c>
      <c r="AE78" s="10">
        <f>IF(OR($C78="",$D78=""),"",IF(AND(DATE($B$1,1,1)+(27-1)*7&lt;=$D78,DATE($B$1,1,1)+27*7-1&gt;=$C78),1,""))</f>
        <v/>
      </c>
      <c r="AF78" s="10">
        <f>IF(OR($C78="",$D78=""),"",IF(AND(DATE($B$1,1,1)+(28-1)*7&lt;=$D78,DATE($B$1,1,1)+28*7-1&gt;=$C78),1,""))</f>
        <v/>
      </c>
      <c r="AG78" s="10">
        <f>IF(OR($C78="",$D78=""),"",IF(AND(DATE($B$1,1,1)+(29-1)*7&lt;=$D78,DATE($B$1,1,1)+29*7-1&gt;=$C78),1,""))</f>
        <v/>
      </c>
      <c r="AH78" s="10">
        <f>IF(OR($C78="",$D78=""),"",IF(AND(DATE($B$1,1,1)+(30-1)*7&lt;=$D78,DATE($B$1,1,1)+30*7-1&gt;=$C78),1,""))</f>
        <v/>
      </c>
      <c r="AI78" s="10">
        <f>IF(OR($C78="",$D78=""),"",IF(AND(DATE($B$1,1,1)+(31-1)*7&lt;=$D78,DATE($B$1,1,1)+31*7-1&gt;=$C78),1,""))</f>
        <v/>
      </c>
      <c r="AJ78" s="10">
        <f>IF(OR($C78="",$D78=""),"",IF(AND(DATE($B$1,1,1)+(32-1)*7&lt;=$D78,DATE($B$1,1,1)+32*7-1&gt;=$C78),1,""))</f>
        <v/>
      </c>
      <c r="AK78" s="10">
        <f>IF(OR($C78="",$D78=""),"",IF(AND(DATE($B$1,1,1)+(33-1)*7&lt;=$D78,DATE($B$1,1,1)+33*7-1&gt;=$C78),1,""))</f>
        <v/>
      </c>
      <c r="AL78" s="10">
        <f>IF(OR($C78="",$D78=""),"",IF(AND(DATE($B$1,1,1)+(34-1)*7&lt;=$D78,DATE($B$1,1,1)+34*7-1&gt;=$C78),1,""))</f>
        <v/>
      </c>
      <c r="AM78" s="10">
        <f>IF(OR($C78="",$D78=""),"",IF(AND(DATE($B$1,1,1)+(35-1)*7&lt;=$D78,DATE($B$1,1,1)+35*7-1&gt;=$C78),1,""))</f>
        <v/>
      </c>
      <c r="AN78" s="10">
        <f>IF(OR($C78="",$D78=""),"",IF(AND(DATE($B$1,1,1)+(36-1)*7&lt;=$D78,DATE($B$1,1,1)+36*7-1&gt;=$C78),1,""))</f>
        <v/>
      </c>
      <c r="AO78" s="10">
        <f>IF(OR($C78="",$D78=""),"",IF(AND(DATE($B$1,1,1)+(37-1)*7&lt;=$D78,DATE($B$1,1,1)+37*7-1&gt;=$C78),1,""))</f>
        <v/>
      </c>
      <c r="AP78" s="10">
        <f>IF(OR($C78="",$D78=""),"",IF(AND(DATE($B$1,1,1)+(38-1)*7&lt;=$D78,DATE($B$1,1,1)+38*7-1&gt;=$C78),1,""))</f>
        <v/>
      </c>
      <c r="AQ78" s="10">
        <f>IF(OR($C78="",$D78=""),"",IF(AND(DATE($B$1,1,1)+(39-1)*7&lt;=$D78,DATE($B$1,1,1)+39*7-1&gt;=$C78),1,""))</f>
        <v/>
      </c>
      <c r="AR78" s="10">
        <f>IF(OR($C78="",$D78=""),"",IF(AND(DATE($B$1,1,1)+(40-1)*7&lt;=$D78,DATE($B$1,1,1)+40*7-1&gt;=$C78),1,""))</f>
        <v/>
      </c>
      <c r="AS78" s="10">
        <f>IF(OR($C78="",$D78=""),"",IF(AND(DATE($B$1,1,1)+(41-1)*7&lt;=$D78,DATE($B$1,1,1)+41*7-1&gt;=$C78),1,""))</f>
        <v/>
      </c>
      <c r="AT78" s="10">
        <f>IF(OR($C78="",$D78=""),"",IF(AND(DATE($B$1,1,1)+(42-1)*7&lt;=$D78,DATE($B$1,1,1)+42*7-1&gt;=$C78),1,""))</f>
        <v/>
      </c>
      <c r="AU78" s="10">
        <f>IF(OR($C78="",$D78=""),"",IF(AND(DATE($B$1,1,1)+(43-1)*7&lt;=$D78,DATE($B$1,1,1)+43*7-1&gt;=$C78),1,""))</f>
        <v/>
      </c>
      <c r="AV78" s="10">
        <f>IF(OR($C78="",$D78=""),"",IF(AND(DATE($B$1,1,1)+(44-1)*7&lt;=$D78,DATE($B$1,1,1)+44*7-1&gt;=$C78),1,""))</f>
        <v/>
      </c>
      <c r="AW78" s="10">
        <f>IF(OR($C78="",$D78=""),"",IF(AND(DATE($B$1,1,1)+(45-1)*7&lt;=$D78,DATE($B$1,1,1)+45*7-1&gt;=$C78),1,""))</f>
        <v/>
      </c>
      <c r="AX78" s="10">
        <f>IF(OR($C78="",$D78=""),"",IF(AND(DATE($B$1,1,1)+(46-1)*7&lt;=$D78,DATE($B$1,1,1)+46*7-1&gt;=$C78),1,""))</f>
        <v/>
      </c>
      <c r="AY78" s="10">
        <f>IF(OR($C78="",$D78=""),"",IF(AND(DATE($B$1,1,1)+(47-1)*7&lt;=$D78,DATE($B$1,1,1)+47*7-1&gt;=$C78),1,""))</f>
        <v/>
      </c>
      <c r="AZ78" s="10">
        <f>IF(OR($C78="",$D78=""),"",IF(AND(DATE($B$1,1,1)+(48-1)*7&lt;=$D78,DATE($B$1,1,1)+48*7-1&gt;=$C78),1,""))</f>
        <v/>
      </c>
      <c r="BA78" s="10">
        <f>IF(OR($C78="",$D78=""),"",IF(AND(DATE($B$1,1,1)+(49-1)*7&lt;=$D78,DATE($B$1,1,1)+49*7-1&gt;=$C78),1,""))</f>
        <v/>
      </c>
      <c r="BB78" s="10">
        <f>IF(OR($C78="",$D78=""),"",IF(AND(DATE($B$1,1,1)+(50-1)*7&lt;=$D78,DATE($B$1,1,1)+50*7-1&gt;=$C78),1,""))</f>
        <v/>
      </c>
      <c r="BC78" s="10">
        <f>IF(OR($C78="",$D78=""),"",IF(AND(DATE($B$1,1,1)+(51-1)*7&lt;=$D78,DATE($B$1,1,1)+51*7-1&gt;=$C78),1,""))</f>
        <v/>
      </c>
      <c r="BD78" s="10">
        <f>IF(OR($C78="",$D78=""),"",IF(AND(DATE($B$1,1,1)+(52-1)*7&lt;=$D78,DATE($B$1,1,1)+52*7-1&gt;=$C78),1,""))</f>
        <v/>
      </c>
      <c r="BE78" s="10">
        <f>IF(OR($C78="",$D78=""),"",IF(AND(DATE($B$1,1,1)+(53-1)*7&lt;=$D78,DATE($B$1,1,1)+53*7-1&gt;=$C78),1,""))</f>
        <v/>
      </c>
      <c r="BF78" s="10">
        <f>IF(OR($C78="",$D78=""),"",IF(AND(DATE($B$1,1,1)+(54-1)*7&lt;=$D78,DATE($B$1,1,1)+54*7-1&gt;=$C78),1,""))</f>
        <v/>
      </c>
    </row>
    <row r="79">
      <c r="A79" s="6" t="n"/>
      <c r="B79" s="6" t="n"/>
      <c r="C79" s="11" t="n"/>
      <c r="D79" s="11" t="n"/>
      <c r="E79" s="10">
        <f>IF(OR($C79="",$D79=""),"",IF(AND(DATE($B$1,1,1)+(1-1)*7&lt;=$D79,DATE($B$1,1,1)+1*7-1&gt;=$C79),1,""))</f>
        <v/>
      </c>
      <c r="F79" s="10">
        <f>IF(OR($C79="",$D79=""),"",IF(AND(DATE($B$1,1,1)+(2-1)*7&lt;=$D79,DATE($B$1,1,1)+2*7-1&gt;=$C79),1,""))</f>
        <v/>
      </c>
      <c r="G79" s="10">
        <f>IF(OR($C79="",$D79=""),"",IF(AND(DATE($B$1,1,1)+(3-1)*7&lt;=$D79,DATE($B$1,1,1)+3*7-1&gt;=$C79),1,""))</f>
        <v/>
      </c>
      <c r="H79" s="10">
        <f>IF(OR($C79="",$D79=""),"",IF(AND(DATE($B$1,1,1)+(4-1)*7&lt;=$D79,DATE($B$1,1,1)+4*7-1&gt;=$C79),1,""))</f>
        <v/>
      </c>
      <c r="I79" s="10">
        <f>IF(OR($C79="",$D79=""),"",IF(AND(DATE($B$1,1,1)+(5-1)*7&lt;=$D79,DATE($B$1,1,1)+5*7-1&gt;=$C79),1,""))</f>
        <v/>
      </c>
      <c r="J79" s="10">
        <f>IF(OR($C79="",$D79=""),"",IF(AND(DATE($B$1,1,1)+(6-1)*7&lt;=$D79,DATE($B$1,1,1)+6*7-1&gt;=$C79),1,""))</f>
        <v/>
      </c>
      <c r="K79" s="10">
        <f>IF(OR($C79="",$D79=""),"",IF(AND(DATE($B$1,1,1)+(7-1)*7&lt;=$D79,DATE($B$1,1,1)+7*7-1&gt;=$C79),1,""))</f>
        <v/>
      </c>
      <c r="L79" s="10">
        <f>IF(OR($C79="",$D79=""),"",IF(AND(DATE($B$1,1,1)+(8-1)*7&lt;=$D79,DATE($B$1,1,1)+8*7-1&gt;=$C79),1,""))</f>
        <v/>
      </c>
      <c r="M79" s="10">
        <f>IF(OR($C79="",$D79=""),"",IF(AND(DATE($B$1,1,1)+(9-1)*7&lt;=$D79,DATE($B$1,1,1)+9*7-1&gt;=$C79),1,""))</f>
        <v/>
      </c>
      <c r="N79" s="10">
        <f>IF(OR($C79="",$D79=""),"",IF(AND(DATE($B$1,1,1)+(10-1)*7&lt;=$D79,DATE($B$1,1,1)+10*7-1&gt;=$C79),1,""))</f>
        <v/>
      </c>
      <c r="O79" s="10">
        <f>IF(OR($C79="",$D79=""),"",IF(AND(DATE($B$1,1,1)+(11-1)*7&lt;=$D79,DATE($B$1,1,1)+11*7-1&gt;=$C79),1,""))</f>
        <v/>
      </c>
      <c r="P79" s="10">
        <f>IF(OR($C79="",$D79=""),"",IF(AND(DATE($B$1,1,1)+(12-1)*7&lt;=$D79,DATE($B$1,1,1)+12*7-1&gt;=$C79),1,""))</f>
        <v/>
      </c>
      <c r="Q79" s="10">
        <f>IF(OR($C79="",$D79=""),"",IF(AND(DATE($B$1,1,1)+(13-1)*7&lt;=$D79,DATE($B$1,1,1)+13*7-1&gt;=$C79),1,""))</f>
        <v/>
      </c>
      <c r="R79" s="10">
        <f>IF(OR($C79="",$D79=""),"",IF(AND(DATE($B$1,1,1)+(14-1)*7&lt;=$D79,DATE($B$1,1,1)+14*7-1&gt;=$C79),1,""))</f>
        <v/>
      </c>
      <c r="S79" s="10">
        <f>IF(OR($C79="",$D79=""),"",IF(AND(DATE($B$1,1,1)+(15-1)*7&lt;=$D79,DATE($B$1,1,1)+15*7-1&gt;=$C79),1,""))</f>
        <v/>
      </c>
      <c r="T79" s="10">
        <f>IF(OR($C79="",$D79=""),"",IF(AND(DATE($B$1,1,1)+(16-1)*7&lt;=$D79,DATE($B$1,1,1)+16*7-1&gt;=$C79),1,""))</f>
        <v/>
      </c>
      <c r="U79" s="10">
        <f>IF(OR($C79="",$D79=""),"",IF(AND(DATE($B$1,1,1)+(17-1)*7&lt;=$D79,DATE($B$1,1,1)+17*7-1&gt;=$C79),1,""))</f>
        <v/>
      </c>
      <c r="V79" s="10">
        <f>IF(OR($C79="",$D79=""),"",IF(AND(DATE($B$1,1,1)+(18-1)*7&lt;=$D79,DATE($B$1,1,1)+18*7-1&gt;=$C79),1,""))</f>
        <v/>
      </c>
      <c r="W79" s="10">
        <f>IF(OR($C79="",$D79=""),"",IF(AND(DATE($B$1,1,1)+(19-1)*7&lt;=$D79,DATE($B$1,1,1)+19*7-1&gt;=$C79),1,""))</f>
        <v/>
      </c>
      <c r="X79" s="10">
        <f>IF(OR($C79="",$D79=""),"",IF(AND(DATE($B$1,1,1)+(20-1)*7&lt;=$D79,DATE($B$1,1,1)+20*7-1&gt;=$C79),1,""))</f>
        <v/>
      </c>
      <c r="Y79" s="10">
        <f>IF(OR($C79="",$D79=""),"",IF(AND(DATE($B$1,1,1)+(21-1)*7&lt;=$D79,DATE($B$1,1,1)+21*7-1&gt;=$C79),1,""))</f>
        <v/>
      </c>
      <c r="Z79" s="10">
        <f>IF(OR($C79="",$D79=""),"",IF(AND(DATE($B$1,1,1)+(22-1)*7&lt;=$D79,DATE($B$1,1,1)+22*7-1&gt;=$C79),1,""))</f>
        <v/>
      </c>
      <c r="AA79" s="10">
        <f>IF(OR($C79="",$D79=""),"",IF(AND(DATE($B$1,1,1)+(23-1)*7&lt;=$D79,DATE($B$1,1,1)+23*7-1&gt;=$C79),1,""))</f>
        <v/>
      </c>
      <c r="AB79" s="10">
        <f>IF(OR($C79="",$D79=""),"",IF(AND(DATE($B$1,1,1)+(24-1)*7&lt;=$D79,DATE($B$1,1,1)+24*7-1&gt;=$C79),1,""))</f>
        <v/>
      </c>
      <c r="AC79" s="10">
        <f>IF(OR($C79="",$D79=""),"",IF(AND(DATE($B$1,1,1)+(25-1)*7&lt;=$D79,DATE($B$1,1,1)+25*7-1&gt;=$C79),1,""))</f>
        <v/>
      </c>
      <c r="AD79" s="10">
        <f>IF(OR($C79="",$D79=""),"",IF(AND(DATE($B$1,1,1)+(26-1)*7&lt;=$D79,DATE($B$1,1,1)+26*7-1&gt;=$C79),1,""))</f>
        <v/>
      </c>
      <c r="AE79" s="10">
        <f>IF(OR($C79="",$D79=""),"",IF(AND(DATE($B$1,1,1)+(27-1)*7&lt;=$D79,DATE($B$1,1,1)+27*7-1&gt;=$C79),1,""))</f>
        <v/>
      </c>
      <c r="AF79" s="10">
        <f>IF(OR($C79="",$D79=""),"",IF(AND(DATE($B$1,1,1)+(28-1)*7&lt;=$D79,DATE($B$1,1,1)+28*7-1&gt;=$C79),1,""))</f>
        <v/>
      </c>
      <c r="AG79" s="10">
        <f>IF(OR($C79="",$D79=""),"",IF(AND(DATE($B$1,1,1)+(29-1)*7&lt;=$D79,DATE($B$1,1,1)+29*7-1&gt;=$C79),1,""))</f>
        <v/>
      </c>
      <c r="AH79" s="10">
        <f>IF(OR($C79="",$D79=""),"",IF(AND(DATE($B$1,1,1)+(30-1)*7&lt;=$D79,DATE($B$1,1,1)+30*7-1&gt;=$C79),1,""))</f>
        <v/>
      </c>
      <c r="AI79" s="10">
        <f>IF(OR($C79="",$D79=""),"",IF(AND(DATE($B$1,1,1)+(31-1)*7&lt;=$D79,DATE($B$1,1,1)+31*7-1&gt;=$C79),1,""))</f>
        <v/>
      </c>
      <c r="AJ79" s="10">
        <f>IF(OR($C79="",$D79=""),"",IF(AND(DATE($B$1,1,1)+(32-1)*7&lt;=$D79,DATE($B$1,1,1)+32*7-1&gt;=$C79),1,""))</f>
        <v/>
      </c>
      <c r="AK79" s="10">
        <f>IF(OR($C79="",$D79=""),"",IF(AND(DATE($B$1,1,1)+(33-1)*7&lt;=$D79,DATE($B$1,1,1)+33*7-1&gt;=$C79),1,""))</f>
        <v/>
      </c>
      <c r="AL79" s="10">
        <f>IF(OR($C79="",$D79=""),"",IF(AND(DATE($B$1,1,1)+(34-1)*7&lt;=$D79,DATE($B$1,1,1)+34*7-1&gt;=$C79),1,""))</f>
        <v/>
      </c>
      <c r="AM79" s="10">
        <f>IF(OR($C79="",$D79=""),"",IF(AND(DATE($B$1,1,1)+(35-1)*7&lt;=$D79,DATE($B$1,1,1)+35*7-1&gt;=$C79),1,""))</f>
        <v/>
      </c>
      <c r="AN79" s="10">
        <f>IF(OR($C79="",$D79=""),"",IF(AND(DATE($B$1,1,1)+(36-1)*7&lt;=$D79,DATE($B$1,1,1)+36*7-1&gt;=$C79),1,""))</f>
        <v/>
      </c>
      <c r="AO79" s="10">
        <f>IF(OR($C79="",$D79=""),"",IF(AND(DATE($B$1,1,1)+(37-1)*7&lt;=$D79,DATE($B$1,1,1)+37*7-1&gt;=$C79),1,""))</f>
        <v/>
      </c>
      <c r="AP79" s="10">
        <f>IF(OR($C79="",$D79=""),"",IF(AND(DATE($B$1,1,1)+(38-1)*7&lt;=$D79,DATE($B$1,1,1)+38*7-1&gt;=$C79),1,""))</f>
        <v/>
      </c>
      <c r="AQ79" s="10">
        <f>IF(OR($C79="",$D79=""),"",IF(AND(DATE($B$1,1,1)+(39-1)*7&lt;=$D79,DATE($B$1,1,1)+39*7-1&gt;=$C79),1,""))</f>
        <v/>
      </c>
      <c r="AR79" s="10">
        <f>IF(OR($C79="",$D79=""),"",IF(AND(DATE($B$1,1,1)+(40-1)*7&lt;=$D79,DATE($B$1,1,1)+40*7-1&gt;=$C79),1,""))</f>
        <v/>
      </c>
      <c r="AS79" s="10">
        <f>IF(OR($C79="",$D79=""),"",IF(AND(DATE($B$1,1,1)+(41-1)*7&lt;=$D79,DATE($B$1,1,1)+41*7-1&gt;=$C79),1,""))</f>
        <v/>
      </c>
      <c r="AT79" s="10">
        <f>IF(OR($C79="",$D79=""),"",IF(AND(DATE($B$1,1,1)+(42-1)*7&lt;=$D79,DATE($B$1,1,1)+42*7-1&gt;=$C79),1,""))</f>
        <v/>
      </c>
      <c r="AU79" s="10">
        <f>IF(OR($C79="",$D79=""),"",IF(AND(DATE($B$1,1,1)+(43-1)*7&lt;=$D79,DATE($B$1,1,1)+43*7-1&gt;=$C79),1,""))</f>
        <v/>
      </c>
      <c r="AV79" s="10">
        <f>IF(OR($C79="",$D79=""),"",IF(AND(DATE($B$1,1,1)+(44-1)*7&lt;=$D79,DATE($B$1,1,1)+44*7-1&gt;=$C79),1,""))</f>
        <v/>
      </c>
      <c r="AW79" s="10">
        <f>IF(OR($C79="",$D79=""),"",IF(AND(DATE($B$1,1,1)+(45-1)*7&lt;=$D79,DATE($B$1,1,1)+45*7-1&gt;=$C79),1,""))</f>
        <v/>
      </c>
      <c r="AX79" s="10">
        <f>IF(OR($C79="",$D79=""),"",IF(AND(DATE($B$1,1,1)+(46-1)*7&lt;=$D79,DATE($B$1,1,1)+46*7-1&gt;=$C79),1,""))</f>
        <v/>
      </c>
      <c r="AY79" s="10">
        <f>IF(OR($C79="",$D79=""),"",IF(AND(DATE($B$1,1,1)+(47-1)*7&lt;=$D79,DATE($B$1,1,1)+47*7-1&gt;=$C79),1,""))</f>
        <v/>
      </c>
      <c r="AZ79" s="10">
        <f>IF(OR($C79="",$D79=""),"",IF(AND(DATE($B$1,1,1)+(48-1)*7&lt;=$D79,DATE($B$1,1,1)+48*7-1&gt;=$C79),1,""))</f>
        <v/>
      </c>
      <c r="BA79" s="10">
        <f>IF(OR($C79="",$D79=""),"",IF(AND(DATE($B$1,1,1)+(49-1)*7&lt;=$D79,DATE($B$1,1,1)+49*7-1&gt;=$C79),1,""))</f>
        <v/>
      </c>
      <c r="BB79" s="10">
        <f>IF(OR($C79="",$D79=""),"",IF(AND(DATE($B$1,1,1)+(50-1)*7&lt;=$D79,DATE($B$1,1,1)+50*7-1&gt;=$C79),1,""))</f>
        <v/>
      </c>
      <c r="BC79" s="10">
        <f>IF(OR($C79="",$D79=""),"",IF(AND(DATE($B$1,1,1)+(51-1)*7&lt;=$D79,DATE($B$1,1,1)+51*7-1&gt;=$C79),1,""))</f>
        <v/>
      </c>
      <c r="BD79" s="10">
        <f>IF(OR($C79="",$D79=""),"",IF(AND(DATE($B$1,1,1)+(52-1)*7&lt;=$D79,DATE($B$1,1,1)+52*7-1&gt;=$C79),1,""))</f>
        <v/>
      </c>
      <c r="BE79" s="10">
        <f>IF(OR($C79="",$D79=""),"",IF(AND(DATE($B$1,1,1)+(53-1)*7&lt;=$D79,DATE($B$1,1,1)+53*7-1&gt;=$C79),1,""))</f>
        <v/>
      </c>
      <c r="BF79" s="10">
        <f>IF(OR($C79="",$D79=""),"",IF(AND(DATE($B$1,1,1)+(54-1)*7&lt;=$D79,DATE($B$1,1,1)+54*7-1&gt;=$C79),1,""))</f>
        <v/>
      </c>
    </row>
    <row r="80">
      <c r="A80" s="6" t="n"/>
      <c r="B80" s="6" t="n"/>
      <c r="C80" s="11" t="n"/>
      <c r="D80" s="11" t="n"/>
      <c r="E80" s="10">
        <f>IF(OR($C80="",$D80=""),"",IF(AND(DATE($B$1,1,1)+(1-1)*7&lt;=$D80,DATE($B$1,1,1)+1*7-1&gt;=$C80),1,""))</f>
        <v/>
      </c>
      <c r="F80" s="10">
        <f>IF(OR($C80="",$D80=""),"",IF(AND(DATE($B$1,1,1)+(2-1)*7&lt;=$D80,DATE($B$1,1,1)+2*7-1&gt;=$C80),1,""))</f>
        <v/>
      </c>
      <c r="G80" s="10">
        <f>IF(OR($C80="",$D80=""),"",IF(AND(DATE($B$1,1,1)+(3-1)*7&lt;=$D80,DATE($B$1,1,1)+3*7-1&gt;=$C80),1,""))</f>
        <v/>
      </c>
      <c r="H80" s="10">
        <f>IF(OR($C80="",$D80=""),"",IF(AND(DATE($B$1,1,1)+(4-1)*7&lt;=$D80,DATE($B$1,1,1)+4*7-1&gt;=$C80),1,""))</f>
        <v/>
      </c>
      <c r="I80" s="10">
        <f>IF(OR($C80="",$D80=""),"",IF(AND(DATE($B$1,1,1)+(5-1)*7&lt;=$D80,DATE($B$1,1,1)+5*7-1&gt;=$C80),1,""))</f>
        <v/>
      </c>
      <c r="J80" s="10">
        <f>IF(OR($C80="",$D80=""),"",IF(AND(DATE($B$1,1,1)+(6-1)*7&lt;=$D80,DATE($B$1,1,1)+6*7-1&gt;=$C80),1,""))</f>
        <v/>
      </c>
      <c r="K80" s="10">
        <f>IF(OR($C80="",$D80=""),"",IF(AND(DATE($B$1,1,1)+(7-1)*7&lt;=$D80,DATE($B$1,1,1)+7*7-1&gt;=$C80),1,""))</f>
        <v/>
      </c>
      <c r="L80" s="10">
        <f>IF(OR($C80="",$D80=""),"",IF(AND(DATE($B$1,1,1)+(8-1)*7&lt;=$D80,DATE($B$1,1,1)+8*7-1&gt;=$C80),1,""))</f>
        <v/>
      </c>
      <c r="M80" s="10">
        <f>IF(OR($C80="",$D80=""),"",IF(AND(DATE($B$1,1,1)+(9-1)*7&lt;=$D80,DATE($B$1,1,1)+9*7-1&gt;=$C80),1,""))</f>
        <v/>
      </c>
      <c r="N80" s="10">
        <f>IF(OR($C80="",$D80=""),"",IF(AND(DATE($B$1,1,1)+(10-1)*7&lt;=$D80,DATE($B$1,1,1)+10*7-1&gt;=$C80),1,""))</f>
        <v/>
      </c>
      <c r="O80" s="10">
        <f>IF(OR($C80="",$D80=""),"",IF(AND(DATE($B$1,1,1)+(11-1)*7&lt;=$D80,DATE($B$1,1,1)+11*7-1&gt;=$C80),1,""))</f>
        <v/>
      </c>
      <c r="P80" s="10">
        <f>IF(OR($C80="",$D80=""),"",IF(AND(DATE($B$1,1,1)+(12-1)*7&lt;=$D80,DATE($B$1,1,1)+12*7-1&gt;=$C80),1,""))</f>
        <v/>
      </c>
      <c r="Q80" s="10">
        <f>IF(OR($C80="",$D80=""),"",IF(AND(DATE($B$1,1,1)+(13-1)*7&lt;=$D80,DATE($B$1,1,1)+13*7-1&gt;=$C80),1,""))</f>
        <v/>
      </c>
      <c r="R80" s="10">
        <f>IF(OR($C80="",$D80=""),"",IF(AND(DATE($B$1,1,1)+(14-1)*7&lt;=$D80,DATE($B$1,1,1)+14*7-1&gt;=$C80),1,""))</f>
        <v/>
      </c>
      <c r="S80" s="10">
        <f>IF(OR($C80="",$D80=""),"",IF(AND(DATE($B$1,1,1)+(15-1)*7&lt;=$D80,DATE($B$1,1,1)+15*7-1&gt;=$C80),1,""))</f>
        <v/>
      </c>
      <c r="T80" s="10">
        <f>IF(OR($C80="",$D80=""),"",IF(AND(DATE($B$1,1,1)+(16-1)*7&lt;=$D80,DATE($B$1,1,1)+16*7-1&gt;=$C80),1,""))</f>
        <v/>
      </c>
      <c r="U80" s="10">
        <f>IF(OR($C80="",$D80=""),"",IF(AND(DATE($B$1,1,1)+(17-1)*7&lt;=$D80,DATE($B$1,1,1)+17*7-1&gt;=$C80),1,""))</f>
        <v/>
      </c>
      <c r="V80" s="10">
        <f>IF(OR($C80="",$D80=""),"",IF(AND(DATE($B$1,1,1)+(18-1)*7&lt;=$D80,DATE($B$1,1,1)+18*7-1&gt;=$C80),1,""))</f>
        <v/>
      </c>
      <c r="W80" s="10">
        <f>IF(OR($C80="",$D80=""),"",IF(AND(DATE($B$1,1,1)+(19-1)*7&lt;=$D80,DATE($B$1,1,1)+19*7-1&gt;=$C80),1,""))</f>
        <v/>
      </c>
      <c r="X80" s="10">
        <f>IF(OR($C80="",$D80=""),"",IF(AND(DATE($B$1,1,1)+(20-1)*7&lt;=$D80,DATE($B$1,1,1)+20*7-1&gt;=$C80),1,""))</f>
        <v/>
      </c>
      <c r="Y80" s="10">
        <f>IF(OR($C80="",$D80=""),"",IF(AND(DATE($B$1,1,1)+(21-1)*7&lt;=$D80,DATE($B$1,1,1)+21*7-1&gt;=$C80),1,""))</f>
        <v/>
      </c>
      <c r="Z80" s="10">
        <f>IF(OR($C80="",$D80=""),"",IF(AND(DATE($B$1,1,1)+(22-1)*7&lt;=$D80,DATE($B$1,1,1)+22*7-1&gt;=$C80),1,""))</f>
        <v/>
      </c>
      <c r="AA80" s="10">
        <f>IF(OR($C80="",$D80=""),"",IF(AND(DATE($B$1,1,1)+(23-1)*7&lt;=$D80,DATE($B$1,1,1)+23*7-1&gt;=$C80),1,""))</f>
        <v/>
      </c>
      <c r="AB80" s="10">
        <f>IF(OR($C80="",$D80=""),"",IF(AND(DATE($B$1,1,1)+(24-1)*7&lt;=$D80,DATE($B$1,1,1)+24*7-1&gt;=$C80),1,""))</f>
        <v/>
      </c>
      <c r="AC80" s="10">
        <f>IF(OR($C80="",$D80=""),"",IF(AND(DATE($B$1,1,1)+(25-1)*7&lt;=$D80,DATE($B$1,1,1)+25*7-1&gt;=$C80),1,""))</f>
        <v/>
      </c>
      <c r="AD80" s="10">
        <f>IF(OR($C80="",$D80=""),"",IF(AND(DATE($B$1,1,1)+(26-1)*7&lt;=$D80,DATE($B$1,1,1)+26*7-1&gt;=$C80),1,""))</f>
        <v/>
      </c>
      <c r="AE80" s="10">
        <f>IF(OR($C80="",$D80=""),"",IF(AND(DATE($B$1,1,1)+(27-1)*7&lt;=$D80,DATE($B$1,1,1)+27*7-1&gt;=$C80),1,""))</f>
        <v/>
      </c>
      <c r="AF80" s="10">
        <f>IF(OR($C80="",$D80=""),"",IF(AND(DATE($B$1,1,1)+(28-1)*7&lt;=$D80,DATE($B$1,1,1)+28*7-1&gt;=$C80),1,""))</f>
        <v/>
      </c>
      <c r="AG80" s="10">
        <f>IF(OR($C80="",$D80=""),"",IF(AND(DATE($B$1,1,1)+(29-1)*7&lt;=$D80,DATE($B$1,1,1)+29*7-1&gt;=$C80),1,""))</f>
        <v/>
      </c>
      <c r="AH80" s="10">
        <f>IF(OR($C80="",$D80=""),"",IF(AND(DATE($B$1,1,1)+(30-1)*7&lt;=$D80,DATE($B$1,1,1)+30*7-1&gt;=$C80),1,""))</f>
        <v/>
      </c>
      <c r="AI80" s="10">
        <f>IF(OR($C80="",$D80=""),"",IF(AND(DATE($B$1,1,1)+(31-1)*7&lt;=$D80,DATE($B$1,1,1)+31*7-1&gt;=$C80),1,""))</f>
        <v/>
      </c>
      <c r="AJ80" s="10">
        <f>IF(OR($C80="",$D80=""),"",IF(AND(DATE($B$1,1,1)+(32-1)*7&lt;=$D80,DATE($B$1,1,1)+32*7-1&gt;=$C80),1,""))</f>
        <v/>
      </c>
      <c r="AK80" s="10">
        <f>IF(OR($C80="",$D80=""),"",IF(AND(DATE($B$1,1,1)+(33-1)*7&lt;=$D80,DATE($B$1,1,1)+33*7-1&gt;=$C80),1,""))</f>
        <v/>
      </c>
      <c r="AL80" s="10">
        <f>IF(OR($C80="",$D80=""),"",IF(AND(DATE($B$1,1,1)+(34-1)*7&lt;=$D80,DATE($B$1,1,1)+34*7-1&gt;=$C80),1,""))</f>
        <v/>
      </c>
      <c r="AM80" s="10">
        <f>IF(OR($C80="",$D80=""),"",IF(AND(DATE($B$1,1,1)+(35-1)*7&lt;=$D80,DATE($B$1,1,1)+35*7-1&gt;=$C80),1,""))</f>
        <v/>
      </c>
      <c r="AN80" s="10">
        <f>IF(OR($C80="",$D80=""),"",IF(AND(DATE($B$1,1,1)+(36-1)*7&lt;=$D80,DATE($B$1,1,1)+36*7-1&gt;=$C80),1,""))</f>
        <v/>
      </c>
      <c r="AO80" s="10">
        <f>IF(OR($C80="",$D80=""),"",IF(AND(DATE($B$1,1,1)+(37-1)*7&lt;=$D80,DATE($B$1,1,1)+37*7-1&gt;=$C80),1,""))</f>
        <v/>
      </c>
      <c r="AP80" s="10">
        <f>IF(OR($C80="",$D80=""),"",IF(AND(DATE($B$1,1,1)+(38-1)*7&lt;=$D80,DATE($B$1,1,1)+38*7-1&gt;=$C80),1,""))</f>
        <v/>
      </c>
      <c r="AQ80" s="10">
        <f>IF(OR($C80="",$D80=""),"",IF(AND(DATE($B$1,1,1)+(39-1)*7&lt;=$D80,DATE($B$1,1,1)+39*7-1&gt;=$C80),1,""))</f>
        <v/>
      </c>
      <c r="AR80" s="10">
        <f>IF(OR($C80="",$D80=""),"",IF(AND(DATE($B$1,1,1)+(40-1)*7&lt;=$D80,DATE($B$1,1,1)+40*7-1&gt;=$C80),1,""))</f>
        <v/>
      </c>
      <c r="AS80" s="10">
        <f>IF(OR($C80="",$D80=""),"",IF(AND(DATE($B$1,1,1)+(41-1)*7&lt;=$D80,DATE($B$1,1,1)+41*7-1&gt;=$C80),1,""))</f>
        <v/>
      </c>
      <c r="AT80" s="10">
        <f>IF(OR($C80="",$D80=""),"",IF(AND(DATE($B$1,1,1)+(42-1)*7&lt;=$D80,DATE($B$1,1,1)+42*7-1&gt;=$C80),1,""))</f>
        <v/>
      </c>
      <c r="AU80" s="10">
        <f>IF(OR($C80="",$D80=""),"",IF(AND(DATE($B$1,1,1)+(43-1)*7&lt;=$D80,DATE($B$1,1,1)+43*7-1&gt;=$C80),1,""))</f>
        <v/>
      </c>
      <c r="AV80" s="10">
        <f>IF(OR($C80="",$D80=""),"",IF(AND(DATE($B$1,1,1)+(44-1)*7&lt;=$D80,DATE($B$1,1,1)+44*7-1&gt;=$C80),1,""))</f>
        <v/>
      </c>
      <c r="AW80" s="10">
        <f>IF(OR($C80="",$D80=""),"",IF(AND(DATE($B$1,1,1)+(45-1)*7&lt;=$D80,DATE($B$1,1,1)+45*7-1&gt;=$C80),1,""))</f>
        <v/>
      </c>
      <c r="AX80" s="10">
        <f>IF(OR($C80="",$D80=""),"",IF(AND(DATE($B$1,1,1)+(46-1)*7&lt;=$D80,DATE($B$1,1,1)+46*7-1&gt;=$C80),1,""))</f>
        <v/>
      </c>
      <c r="AY80" s="10">
        <f>IF(OR($C80="",$D80=""),"",IF(AND(DATE($B$1,1,1)+(47-1)*7&lt;=$D80,DATE($B$1,1,1)+47*7-1&gt;=$C80),1,""))</f>
        <v/>
      </c>
      <c r="AZ80" s="10">
        <f>IF(OR($C80="",$D80=""),"",IF(AND(DATE($B$1,1,1)+(48-1)*7&lt;=$D80,DATE($B$1,1,1)+48*7-1&gt;=$C80),1,""))</f>
        <v/>
      </c>
      <c r="BA80" s="10">
        <f>IF(OR($C80="",$D80=""),"",IF(AND(DATE($B$1,1,1)+(49-1)*7&lt;=$D80,DATE($B$1,1,1)+49*7-1&gt;=$C80),1,""))</f>
        <v/>
      </c>
      <c r="BB80" s="10">
        <f>IF(OR($C80="",$D80=""),"",IF(AND(DATE($B$1,1,1)+(50-1)*7&lt;=$D80,DATE($B$1,1,1)+50*7-1&gt;=$C80),1,""))</f>
        <v/>
      </c>
      <c r="BC80" s="10">
        <f>IF(OR($C80="",$D80=""),"",IF(AND(DATE($B$1,1,1)+(51-1)*7&lt;=$D80,DATE($B$1,1,1)+51*7-1&gt;=$C80),1,""))</f>
        <v/>
      </c>
      <c r="BD80" s="10">
        <f>IF(OR($C80="",$D80=""),"",IF(AND(DATE($B$1,1,1)+(52-1)*7&lt;=$D80,DATE($B$1,1,1)+52*7-1&gt;=$C80),1,""))</f>
        <v/>
      </c>
      <c r="BE80" s="10">
        <f>IF(OR($C80="",$D80=""),"",IF(AND(DATE($B$1,1,1)+(53-1)*7&lt;=$D80,DATE($B$1,1,1)+53*7-1&gt;=$C80),1,""))</f>
        <v/>
      </c>
      <c r="BF80" s="10">
        <f>IF(OR($C80="",$D80=""),"",IF(AND(DATE($B$1,1,1)+(54-1)*7&lt;=$D80,DATE($B$1,1,1)+54*7-1&gt;=$C80),1,""))</f>
        <v/>
      </c>
    </row>
    <row r="81">
      <c r="A81" s="6" t="n"/>
      <c r="B81" s="6" t="n"/>
      <c r="C81" s="11" t="n"/>
      <c r="D81" s="11" t="n"/>
      <c r="E81" s="10">
        <f>IF(OR($C81="",$D81=""),"",IF(AND(DATE($B$1,1,1)+(1-1)*7&lt;=$D81,DATE($B$1,1,1)+1*7-1&gt;=$C81),1,""))</f>
        <v/>
      </c>
      <c r="F81" s="10">
        <f>IF(OR($C81="",$D81=""),"",IF(AND(DATE($B$1,1,1)+(2-1)*7&lt;=$D81,DATE($B$1,1,1)+2*7-1&gt;=$C81),1,""))</f>
        <v/>
      </c>
      <c r="G81" s="10">
        <f>IF(OR($C81="",$D81=""),"",IF(AND(DATE($B$1,1,1)+(3-1)*7&lt;=$D81,DATE($B$1,1,1)+3*7-1&gt;=$C81),1,""))</f>
        <v/>
      </c>
      <c r="H81" s="10">
        <f>IF(OR($C81="",$D81=""),"",IF(AND(DATE($B$1,1,1)+(4-1)*7&lt;=$D81,DATE($B$1,1,1)+4*7-1&gt;=$C81),1,""))</f>
        <v/>
      </c>
      <c r="I81" s="10">
        <f>IF(OR($C81="",$D81=""),"",IF(AND(DATE($B$1,1,1)+(5-1)*7&lt;=$D81,DATE($B$1,1,1)+5*7-1&gt;=$C81),1,""))</f>
        <v/>
      </c>
      <c r="J81" s="10">
        <f>IF(OR($C81="",$D81=""),"",IF(AND(DATE($B$1,1,1)+(6-1)*7&lt;=$D81,DATE($B$1,1,1)+6*7-1&gt;=$C81),1,""))</f>
        <v/>
      </c>
      <c r="K81" s="10">
        <f>IF(OR($C81="",$D81=""),"",IF(AND(DATE($B$1,1,1)+(7-1)*7&lt;=$D81,DATE($B$1,1,1)+7*7-1&gt;=$C81),1,""))</f>
        <v/>
      </c>
      <c r="L81" s="10">
        <f>IF(OR($C81="",$D81=""),"",IF(AND(DATE($B$1,1,1)+(8-1)*7&lt;=$D81,DATE($B$1,1,1)+8*7-1&gt;=$C81),1,""))</f>
        <v/>
      </c>
      <c r="M81" s="10">
        <f>IF(OR($C81="",$D81=""),"",IF(AND(DATE($B$1,1,1)+(9-1)*7&lt;=$D81,DATE($B$1,1,1)+9*7-1&gt;=$C81),1,""))</f>
        <v/>
      </c>
      <c r="N81" s="10">
        <f>IF(OR($C81="",$D81=""),"",IF(AND(DATE($B$1,1,1)+(10-1)*7&lt;=$D81,DATE($B$1,1,1)+10*7-1&gt;=$C81),1,""))</f>
        <v/>
      </c>
      <c r="O81" s="10">
        <f>IF(OR($C81="",$D81=""),"",IF(AND(DATE($B$1,1,1)+(11-1)*7&lt;=$D81,DATE($B$1,1,1)+11*7-1&gt;=$C81),1,""))</f>
        <v/>
      </c>
      <c r="P81" s="10">
        <f>IF(OR($C81="",$D81=""),"",IF(AND(DATE($B$1,1,1)+(12-1)*7&lt;=$D81,DATE($B$1,1,1)+12*7-1&gt;=$C81),1,""))</f>
        <v/>
      </c>
      <c r="Q81" s="10">
        <f>IF(OR($C81="",$D81=""),"",IF(AND(DATE($B$1,1,1)+(13-1)*7&lt;=$D81,DATE($B$1,1,1)+13*7-1&gt;=$C81),1,""))</f>
        <v/>
      </c>
      <c r="R81" s="10">
        <f>IF(OR($C81="",$D81=""),"",IF(AND(DATE($B$1,1,1)+(14-1)*7&lt;=$D81,DATE($B$1,1,1)+14*7-1&gt;=$C81),1,""))</f>
        <v/>
      </c>
      <c r="S81" s="10">
        <f>IF(OR($C81="",$D81=""),"",IF(AND(DATE($B$1,1,1)+(15-1)*7&lt;=$D81,DATE($B$1,1,1)+15*7-1&gt;=$C81),1,""))</f>
        <v/>
      </c>
      <c r="T81" s="10">
        <f>IF(OR($C81="",$D81=""),"",IF(AND(DATE($B$1,1,1)+(16-1)*7&lt;=$D81,DATE($B$1,1,1)+16*7-1&gt;=$C81),1,""))</f>
        <v/>
      </c>
      <c r="U81" s="10">
        <f>IF(OR($C81="",$D81=""),"",IF(AND(DATE($B$1,1,1)+(17-1)*7&lt;=$D81,DATE($B$1,1,1)+17*7-1&gt;=$C81),1,""))</f>
        <v/>
      </c>
      <c r="V81" s="10">
        <f>IF(OR($C81="",$D81=""),"",IF(AND(DATE($B$1,1,1)+(18-1)*7&lt;=$D81,DATE($B$1,1,1)+18*7-1&gt;=$C81),1,""))</f>
        <v/>
      </c>
      <c r="W81" s="10">
        <f>IF(OR($C81="",$D81=""),"",IF(AND(DATE($B$1,1,1)+(19-1)*7&lt;=$D81,DATE($B$1,1,1)+19*7-1&gt;=$C81),1,""))</f>
        <v/>
      </c>
      <c r="X81" s="10">
        <f>IF(OR($C81="",$D81=""),"",IF(AND(DATE($B$1,1,1)+(20-1)*7&lt;=$D81,DATE($B$1,1,1)+20*7-1&gt;=$C81),1,""))</f>
        <v/>
      </c>
      <c r="Y81" s="10">
        <f>IF(OR($C81="",$D81=""),"",IF(AND(DATE($B$1,1,1)+(21-1)*7&lt;=$D81,DATE($B$1,1,1)+21*7-1&gt;=$C81),1,""))</f>
        <v/>
      </c>
      <c r="Z81" s="10">
        <f>IF(OR($C81="",$D81=""),"",IF(AND(DATE($B$1,1,1)+(22-1)*7&lt;=$D81,DATE($B$1,1,1)+22*7-1&gt;=$C81),1,""))</f>
        <v/>
      </c>
      <c r="AA81" s="10">
        <f>IF(OR($C81="",$D81=""),"",IF(AND(DATE($B$1,1,1)+(23-1)*7&lt;=$D81,DATE($B$1,1,1)+23*7-1&gt;=$C81),1,""))</f>
        <v/>
      </c>
      <c r="AB81" s="10">
        <f>IF(OR($C81="",$D81=""),"",IF(AND(DATE($B$1,1,1)+(24-1)*7&lt;=$D81,DATE($B$1,1,1)+24*7-1&gt;=$C81),1,""))</f>
        <v/>
      </c>
      <c r="AC81" s="10">
        <f>IF(OR($C81="",$D81=""),"",IF(AND(DATE($B$1,1,1)+(25-1)*7&lt;=$D81,DATE($B$1,1,1)+25*7-1&gt;=$C81),1,""))</f>
        <v/>
      </c>
      <c r="AD81" s="10">
        <f>IF(OR($C81="",$D81=""),"",IF(AND(DATE($B$1,1,1)+(26-1)*7&lt;=$D81,DATE($B$1,1,1)+26*7-1&gt;=$C81),1,""))</f>
        <v/>
      </c>
      <c r="AE81" s="10">
        <f>IF(OR($C81="",$D81=""),"",IF(AND(DATE($B$1,1,1)+(27-1)*7&lt;=$D81,DATE($B$1,1,1)+27*7-1&gt;=$C81),1,""))</f>
        <v/>
      </c>
      <c r="AF81" s="10">
        <f>IF(OR($C81="",$D81=""),"",IF(AND(DATE($B$1,1,1)+(28-1)*7&lt;=$D81,DATE($B$1,1,1)+28*7-1&gt;=$C81),1,""))</f>
        <v/>
      </c>
      <c r="AG81" s="10">
        <f>IF(OR($C81="",$D81=""),"",IF(AND(DATE($B$1,1,1)+(29-1)*7&lt;=$D81,DATE($B$1,1,1)+29*7-1&gt;=$C81),1,""))</f>
        <v/>
      </c>
      <c r="AH81" s="10">
        <f>IF(OR($C81="",$D81=""),"",IF(AND(DATE($B$1,1,1)+(30-1)*7&lt;=$D81,DATE($B$1,1,1)+30*7-1&gt;=$C81),1,""))</f>
        <v/>
      </c>
      <c r="AI81" s="10">
        <f>IF(OR($C81="",$D81=""),"",IF(AND(DATE($B$1,1,1)+(31-1)*7&lt;=$D81,DATE($B$1,1,1)+31*7-1&gt;=$C81),1,""))</f>
        <v/>
      </c>
      <c r="AJ81" s="10">
        <f>IF(OR($C81="",$D81=""),"",IF(AND(DATE($B$1,1,1)+(32-1)*7&lt;=$D81,DATE($B$1,1,1)+32*7-1&gt;=$C81),1,""))</f>
        <v/>
      </c>
      <c r="AK81" s="10">
        <f>IF(OR($C81="",$D81=""),"",IF(AND(DATE($B$1,1,1)+(33-1)*7&lt;=$D81,DATE($B$1,1,1)+33*7-1&gt;=$C81),1,""))</f>
        <v/>
      </c>
      <c r="AL81" s="10">
        <f>IF(OR($C81="",$D81=""),"",IF(AND(DATE($B$1,1,1)+(34-1)*7&lt;=$D81,DATE($B$1,1,1)+34*7-1&gt;=$C81),1,""))</f>
        <v/>
      </c>
      <c r="AM81" s="10">
        <f>IF(OR($C81="",$D81=""),"",IF(AND(DATE($B$1,1,1)+(35-1)*7&lt;=$D81,DATE($B$1,1,1)+35*7-1&gt;=$C81),1,""))</f>
        <v/>
      </c>
      <c r="AN81" s="10">
        <f>IF(OR($C81="",$D81=""),"",IF(AND(DATE($B$1,1,1)+(36-1)*7&lt;=$D81,DATE($B$1,1,1)+36*7-1&gt;=$C81),1,""))</f>
        <v/>
      </c>
      <c r="AO81" s="10">
        <f>IF(OR($C81="",$D81=""),"",IF(AND(DATE($B$1,1,1)+(37-1)*7&lt;=$D81,DATE($B$1,1,1)+37*7-1&gt;=$C81),1,""))</f>
        <v/>
      </c>
      <c r="AP81" s="10">
        <f>IF(OR($C81="",$D81=""),"",IF(AND(DATE($B$1,1,1)+(38-1)*7&lt;=$D81,DATE($B$1,1,1)+38*7-1&gt;=$C81),1,""))</f>
        <v/>
      </c>
      <c r="AQ81" s="10">
        <f>IF(OR($C81="",$D81=""),"",IF(AND(DATE($B$1,1,1)+(39-1)*7&lt;=$D81,DATE($B$1,1,1)+39*7-1&gt;=$C81),1,""))</f>
        <v/>
      </c>
      <c r="AR81" s="10">
        <f>IF(OR($C81="",$D81=""),"",IF(AND(DATE($B$1,1,1)+(40-1)*7&lt;=$D81,DATE($B$1,1,1)+40*7-1&gt;=$C81),1,""))</f>
        <v/>
      </c>
      <c r="AS81" s="10">
        <f>IF(OR($C81="",$D81=""),"",IF(AND(DATE($B$1,1,1)+(41-1)*7&lt;=$D81,DATE($B$1,1,1)+41*7-1&gt;=$C81),1,""))</f>
        <v/>
      </c>
      <c r="AT81" s="10">
        <f>IF(OR($C81="",$D81=""),"",IF(AND(DATE($B$1,1,1)+(42-1)*7&lt;=$D81,DATE($B$1,1,1)+42*7-1&gt;=$C81),1,""))</f>
        <v/>
      </c>
      <c r="AU81" s="10">
        <f>IF(OR($C81="",$D81=""),"",IF(AND(DATE($B$1,1,1)+(43-1)*7&lt;=$D81,DATE($B$1,1,1)+43*7-1&gt;=$C81),1,""))</f>
        <v/>
      </c>
      <c r="AV81" s="10">
        <f>IF(OR($C81="",$D81=""),"",IF(AND(DATE($B$1,1,1)+(44-1)*7&lt;=$D81,DATE($B$1,1,1)+44*7-1&gt;=$C81),1,""))</f>
        <v/>
      </c>
      <c r="AW81" s="10">
        <f>IF(OR($C81="",$D81=""),"",IF(AND(DATE($B$1,1,1)+(45-1)*7&lt;=$D81,DATE($B$1,1,1)+45*7-1&gt;=$C81),1,""))</f>
        <v/>
      </c>
      <c r="AX81" s="10">
        <f>IF(OR($C81="",$D81=""),"",IF(AND(DATE($B$1,1,1)+(46-1)*7&lt;=$D81,DATE($B$1,1,1)+46*7-1&gt;=$C81),1,""))</f>
        <v/>
      </c>
      <c r="AY81" s="10">
        <f>IF(OR($C81="",$D81=""),"",IF(AND(DATE($B$1,1,1)+(47-1)*7&lt;=$D81,DATE($B$1,1,1)+47*7-1&gt;=$C81),1,""))</f>
        <v/>
      </c>
      <c r="AZ81" s="10">
        <f>IF(OR($C81="",$D81=""),"",IF(AND(DATE($B$1,1,1)+(48-1)*7&lt;=$D81,DATE($B$1,1,1)+48*7-1&gt;=$C81),1,""))</f>
        <v/>
      </c>
      <c r="BA81" s="10">
        <f>IF(OR($C81="",$D81=""),"",IF(AND(DATE($B$1,1,1)+(49-1)*7&lt;=$D81,DATE($B$1,1,1)+49*7-1&gt;=$C81),1,""))</f>
        <v/>
      </c>
      <c r="BB81" s="10">
        <f>IF(OR($C81="",$D81=""),"",IF(AND(DATE($B$1,1,1)+(50-1)*7&lt;=$D81,DATE($B$1,1,1)+50*7-1&gt;=$C81),1,""))</f>
        <v/>
      </c>
      <c r="BC81" s="10">
        <f>IF(OR($C81="",$D81=""),"",IF(AND(DATE($B$1,1,1)+(51-1)*7&lt;=$D81,DATE($B$1,1,1)+51*7-1&gt;=$C81),1,""))</f>
        <v/>
      </c>
      <c r="BD81" s="10">
        <f>IF(OR($C81="",$D81=""),"",IF(AND(DATE($B$1,1,1)+(52-1)*7&lt;=$D81,DATE($B$1,1,1)+52*7-1&gt;=$C81),1,""))</f>
        <v/>
      </c>
      <c r="BE81" s="10">
        <f>IF(OR($C81="",$D81=""),"",IF(AND(DATE($B$1,1,1)+(53-1)*7&lt;=$D81,DATE($B$1,1,1)+53*7-1&gt;=$C81),1,""))</f>
        <v/>
      </c>
      <c r="BF81" s="10">
        <f>IF(OR($C81="",$D81=""),"",IF(AND(DATE($B$1,1,1)+(54-1)*7&lt;=$D81,DATE($B$1,1,1)+54*7-1&gt;=$C81),1,""))</f>
        <v/>
      </c>
    </row>
    <row r="82">
      <c r="A82" s="6" t="n"/>
      <c r="B82" s="6" t="n"/>
      <c r="C82" s="11" t="n"/>
      <c r="D82" s="11" t="n"/>
      <c r="E82" s="10">
        <f>IF(OR($C82="",$D82=""),"",IF(AND(DATE($B$1,1,1)+(1-1)*7&lt;=$D82,DATE($B$1,1,1)+1*7-1&gt;=$C82),1,""))</f>
        <v/>
      </c>
      <c r="F82" s="10">
        <f>IF(OR($C82="",$D82=""),"",IF(AND(DATE($B$1,1,1)+(2-1)*7&lt;=$D82,DATE($B$1,1,1)+2*7-1&gt;=$C82),1,""))</f>
        <v/>
      </c>
      <c r="G82" s="10">
        <f>IF(OR($C82="",$D82=""),"",IF(AND(DATE($B$1,1,1)+(3-1)*7&lt;=$D82,DATE($B$1,1,1)+3*7-1&gt;=$C82),1,""))</f>
        <v/>
      </c>
      <c r="H82" s="10">
        <f>IF(OR($C82="",$D82=""),"",IF(AND(DATE($B$1,1,1)+(4-1)*7&lt;=$D82,DATE($B$1,1,1)+4*7-1&gt;=$C82),1,""))</f>
        <v/>
      </c>
      <c r="I82" s="10">
        <f>IF(OR($C82="",$D82=""),"",IF(AND(DATE($B$1,1,1)+(5-1)*7&lt;=$D82,DATE($B$1,1,1)+5*7-1&gt;=$C82),1,""))</f>
        <v/>
      </c>
      <c r="J82" s="10">
        <f>IF(OR($C82="",$D82=""),"",IF(AND(DATE($B$1,1,1)+(6-1)*7&lt;=$D82,DATE($B$1,1,1)+6*7-1&gt;=$C82),1,""))</f>
        <v/>
      </c>
      <c r="K82" s="10">
        <f>IF(OR($C82="",$D82=""),"",IF(AND(DATE($B$1,1,1)+(7-1)*7&lt;=$D82,DATE($B$1,1,1)+7*7-1&gt;=$C82),1,""))</f>
        <v/>
      </c>
      <c r="L82" s="10">
        <f>IF(OR($C82="",$D82=""),"",IF(AND(DATE($B$1,1,1)+(8-1)*7&lt;=$D82,DATE($B$1,1,1)+8*7-1&gt;=$C82),1,""))</f>
        <v/>
      </c>
      <c r="M82" s="10">
        <f>IF(OR($C82="",$D82=""),"",IF(AND(DATE($B$1,1,1)+(9-1)*7&lt;=$D82,DATE($B$1,1,1)+9*7-1&gt;=$C82),1,""))</f>
        <v/>
      </c>
      <c r="N82" s="10">
        <f>IF(OR($C82="",$D82=""),"",IF(AND(DATE($B$1,1,1)+(10-1)*7&lt;=$D82,DATE($B$1,1,1)+10*7-1&gt;=$C82),1,""))</f>
        <v/>
      </c>
      <c r="O82" s="10">
        <f>IF(OR($C82="",$D82=""),"",IF(AND(DATE($B$1,1,1)+(11-1)*7&lt;=$D82,DATE($B$1,1,1)+11*7-1&gt;=$C82),1,""))</f>
        <v/>
      </c>
      <c r="P82" s="10">
        <f>IF(OR($C82="",$D82=""),"",IF(AND(DATE($B$1,1,1)+(12-1)*7&lt;=$D82,DATE($B$1,1,1)+12*7-1&gt;=$C82),1,""))</f>
        <v/>
      </c>
      <c r="Q82" s="10">
        <f>IF(OR($C82="",$D82=""),"",IF(AND(DATE($B$1,1,1)+(13-1)*7&lt;=$D82,DATE($B$1,1,1)+13*7-1&gt;=$C82),1,""))</f>
        <v/>
      </c>
      <c r="R82" s="10">
        <f>IF(OR($C82="",$D82=""),"",IF(AND(DATE($B$1,1,1)+(14-1)*7&lt;=$D82,DATE($B$1,1,1)+14*7-1&gt;=$C82),1,""))</f>
        <v/>
      </c>
      <c r="S82" s="10">
        <f>IF(OR($C82="",$D82=""),"",IF(AND(DATE($B$1,1,1)+(15-1)*7&lt;=$D82,DATE($B$1,1,1)+15*7-1&gt;=$C82),1,""))</f>
        <v/>
      </c>
      <c r="T82" s="10">
        <f>IF(OR($C82="",$D82=""),"",IF(AND(DATE($B$1,1,1)+(16-1)*7&lt;=$D82,DATE($B$1,1,1)+16*7-1&gt;=$C82),1,""))</f>
        <v/>
      </c>
      <c r="U82" s="10">
        <f>IF(OR($C82="",$D82=""),"",IF(AND(DATE($B$1,1,1)+(17-1)*7&lt;=$D82,DATE($B$1,1,1)+17*7-1&gt;=$C82),1,""))</f>
        <v/>
      </c>
      <c r="V82" s="10">
        <f>IF(OR($C82="",$D82=""),"",IF(AND(DATE($B$1,1,1)+(18-1)*7&lt;=$D82,DATE($B$1,1,1)+18*7-1&gt;=$C82),1,""))</f>
        <v/>
      </c>
      <c r="W82" s="10">
        <f>IF(OR($C82="",$D82=""),"",IF(AND(DATE($B$1,1,1)+(19-1)*7&lt;=$D82,DATE($B$1,1,1)+19*7-1&gt;=$C82),1,""))</f>
        <v/>
      </c>
      <c r="X82" s="10">
        <f>IF(OR($C82="",$D82=""),"",IF(AND(DATE($B$1,1,1)+(20-1)*7&lt;=$D82,DATE($B$1,1,1)+20*7-1&gt;=$C82),1,""))</f>
        <v/>
      </c>
      <c r="Y82" s="10">
        <f>IF(OR($C82="",$D82=""),"",IF(AND(DATE($B$1,1,1)+(21-1)*7&lt;=$D82,DATE($B$1,1,1)+21*7-1&gt;=$C82),1,""))</f>
        <v/>
      </c>
      <c r="Z82" s="10">
        <f>IF(OR($C82="",$D82=""),"",IF(AND(DATE($B$1,1,1)+(22-1)*7&lt;=$D82,DATE($B$1,1,1)+22*7-1&gt;=$C82),1,""))</f>
        <v/>
      </c>
      <c r="AA82" s="10">
        <f>IF(OR($C82="",$D82=""),"",IF(AND(DATE($B$1,1,1)+(23-1)*7&lt;=$D82,DATE($B$1,1,1)+23*7-1&gt;=$C82),1,""))</f>
        <v/>
      </c>
      <c r="AB82" s="10">
        <f>IF(OR($C82="",$D82=""),"",IF(AND(DATE($B$1,1,1)+(24-1)*7&lt;=$D82,DATE($B$1,1,1)+24*7-1&gt;=$C82),1,""))</f>
        <v/>
      </c>
      <c r="AC82" s="10">
        <f>IF(OR($C82="",$D82=""),"",IF(AND(DATE($B$1,1,1)+(25-1)*7&lt;=$D82,DATE($B$1,1,1)+25*7-1&gt;=$C82),1,""))</f>
        <v/>
      </c>
      <c r="AD82" s="10">
        <f>IF(OR($C82="",$D82=""),"",IF(AND(DATE($B$1,1,1)+(26-1)*7&lt;=$D82,DATE($B$1,1,1)+26*7-1&gt;=$C82),1,""))</f>
        <v/>
      </c>
      <c r="AE82" s="10">
        <f>IF(OR($C82="",$D82=""),"",IF(AND(DATE($B$1,1,1)+(27-1)*7&lt;=$D82,DATE($B$1,1,1)+27*7-1&gt;=$C82),1,""))</f>
        <v/>
      </c>
      <c r="AF82" s="10">
        <f>IF(OR($C82="",$D82=""),"",IF(AND(DATE($B$1,1,1)+(28-1)*7&lt;=$D82,DATE($B$1,1,1)+28*7-1&gt;=$C82),1,""))</f>
        <v/>
      </c>
      <c r="AG82" s="10">
        <f>IF(OR($C82="",$D82=""),"",IF(AND(DATE($B$1,1,1)+(29-1)*7&lt;=$D82,DATE($B$1,1,1)+29*7-1&gt;=$C82),1,""))</f>
        <v/>
      </c>
      <c r="AH82" s="10">
        <f>IF(OR($C82="",$D82=""),"",IF(AND(DATE($B$1,1,1)+(30-1)*7&lt;=$D82,DATE($B$1,1,1)+30*7-1&gt;=$C82),1,""))</f>
        <v/>
      </c>
      <c r="AI82" s="10">
        <f>IF(OR($C82="",$D82=""),"",IF(AND(DATE($B$1,1,1)+(31-1)*7&lt;=$D82,DATE($B$1,1,1)+31*7-1&gt;=$C82),1,""))</f>
        <v/>
      </c>
      <c r="AJ82" s="10">
        <f>IF(OR($C82="",$D82=""),"",IF(AND(DATE($B$1,1,1)+(32-1)*7&lt;=$D82,DATE($B$1,1,1)+32*7-1&gt;=$C82),1,""))</f>
        <v/>
      </c>
      <c r="AK82" s="10">
        <f>IF(OR($C82="",$D82=""),"",IF(AND(DATE($B$1,1,1)+(33-1)*7&lt;=$D82,DATE($B$1,1,1)+33*7-1&gt;=$C82),1,""))</f>
        <v/>
      </c>
      <c r="AL82" s="10">
        <f>IF(OR($C82="",$D82=""),"",IF(AND(DATE($B$1,1,1)+(34-1)*7&lt;=$D82,DATE($B$1,1,1)+34*7-1&gt;=$C82),1,""))</f>
        <v/>
      </c>
      <c r="AM82" s="10">
        <f>IF(OR($C82="",$D82=""),"",IF(AND(DATE($B$1,1,1)+(35-1)*7&lt;=$D82,DATE($B$1,1,1)+35*7-1&gt;=$C82),1,""))</f>
        <v/>
      </c>
      <c r="AN82" s="10">
        <f>IF(OR($C82="",$D82=""),"",IF(AND(DATE($B$1,1,1)+(36-1)*7&lt;=$D82,DATE($B$1,1,1)+36*7-1&gt;=$C82),1,""))</f>
        <v/>
      </c>
      <c r="AO82" s="10">
        <f>IF(OR($C82="",$D82=""),"",IF(AND(DATE($B$1,1,1)+(37-1)*7&lt;=$D82,DATE($B$1,1,1)+37*7-1&gt;=$C82),1,""))</f>
        <v/>
      </c>
      <c r="AP82" s="10">
        <f>IF(OR($C82="",$D82=""),"",IF(AND(DATE($B$1,1,1)+(38-1)*7&lt;=$D82,DATE($B$1,1,1)+38*7-1&gt;=$C82),1,""))</f>
        <v/>
      </c>
      <c r="AQ82" s="10">
        <f>IF(OR($C82="",$D82=""),"",IF(AND(DATE($B$1,1,1)+(39-1)*7&lt;=$D82,DATE($B$1,1,1)+39*7-1&gt;=$C82),1,""))</f>
        <v/>
      </c>
      <c r="AR82" s="10">
        <f>IF(OR($C82="",$D82=""),"",IF(AND(DATE($B$1,1,1)+(40-1)*7&lt;=$D82,DATE($B$1,1,1)+40*7-1&gt;=$C82),1,""))</f>
        <v/>
      </c>
      <c r="AS82" s="10">
        <f>IF(OR($C82="",$D82=""),"",IF(AND(DATE($B$1,1,1)+(41-1)*7&lt;=$D82,DATE($B$1,1,1)+41*7-1&gt;=$C82),1,""))</f>
        <v/>
      </c>
      <c r="AT82" s="10">
        <f>IF(OR($C82="",$D82=""),"",IF(AND(DATE($B$1,1,1)+(42-1)*7&lt;=$D82,DATE($B$1,1,1)+42*7-1&gt;=$C82),1,""))</f>
        <v/>
      </c>
      <c r="AU82" s="10">
        <f>IF(OR($C82="",$D82=""),"",IF(AND(DATE($B$1,1,1)+(43-1)*7&lt;=$D82,DATE($B$1,1,1)+43*7-1&gt;=$C82),1,""))</f>
        <v/>
      </c>
      <c r="AV82" s="10">
        <f>IF(OR($C82="",$D82=""),"",IF(AND(DATE($B$1,1,1)+(44-1)*7&lt;=$D82,DATE($B$1,1,1)+44*7-1&gt;=$C82),1,""))</f>
        <v/>
      </c>
      <c r="AW82" s="10">
        <f>IF(OR($C82="",$D82=""),"",IF(AND(DATE($B$1,1,1)+(45-1)*7&lt;=$D82,DATE($B$1,1,1)+45*7-1&gt;=$C82),1,""))</f>
        <v/>
      </c>
      <c r="AX82" s="10">
        <f>IF(OR($C82="",$D82=""),"",IF(AND(DATE($B$1,1,1)+(46-1)*7&lt;=$D82,DATE($B$1,1,1)+46*7-1&gt;=$C82),1,""))</f>
        <v/>
      </c>
      <c r="AY82" s="10">
        <f>IF(OR($C82="",$D82=""),"",IF(AND(DATE($B$1,1,1)+(47-1)*7&lt;=$D82,DATE($B$1,1,1)+47*7-1&gt;=$C82),1,""))</f>
        <v/>
      </c>
      <c r="AZ82" s="10">
        <f>IF(OR($C82="",$D82=""),"",IF(AND(DATE($B$1,1,1)+(48-1)*7&lt;=$D82,DATE($B$1,1,1)+48*7-1&gt;=$C82),1,""))</f>
        <v/>
      </c>
      <c r="BA82" s="10">
        <f>IF(OR($C82="",$D82=""),"",IF(AND(DATE($B$1,1,1)+(49-1)*7&lt;=$D82,DATE($B$1,1,1)+49*7-1&gt;=$C82),1,""))</f>
        <v/>
      </c>
      <c r="BB82" s="10">
        <f>IF(OR($C82="",$D82=""),"",IF(AND(DATE($B$1,1,1)+(50-1)*7&lt;=$D82,DATE($B$1,1,1)+50*7-1&gt;=$C82),1,""))</f>
        <v/>
      </c>
      <c r="BC82" s="10">
        <f>IF(OR($C82="",$D82=""),"",IF(AND(DATE($B$1,1,1)+(51-1)*7&lt;=$D82,DATE($B$1,1,1)+51*7-1&gt;=$C82),1,""))</f>
        <v/>
      </c>
      <c r="BD82" s="10">
        <f>IF(OR($C82="",$D82=""),"",IF(AND(DATE($B$1,1,1)+(52-1)*7&lt;=$D82,DATE($B$1,1,1)+52*7-1&gt;=$C82),1,""))</f>
        <v/>
      </c>
      <c r="BE82" s="10">
        <f>IF(OR($C82="",$D82=""),"",IF(AND(DATE($B$1,1,1)+(53-1)*7&lt;=$D82,DATE($B$1,1,1)+53*7-1&gt;=$C82),1,""))</f>
        <v/>
      </c>
      <c r="BF82" s="10">
        <f>IF(OR($C82="",$D82=""),"",IF(AND(DATE($B$1,1,1)+(54-1)*7&lt;=$D82,DATE($B$1,1,1)+54*7-1&gt;=$C82),1,""))</f>
        <v/>
      </c>
    </row>
    <row r="83">
      <c r="A83" s="6" t="n"/>
      <c r="B83" s="6" t="n"/>
      <c r="C83" s="11" t="n"/>
      <c r="D83" s="11" t="n"/>
      <c r="E83" s="10">
        <f>IF(OR($C83="",$D83=""),"",IF(AND(DATE($B$1,1,1)+(1-1)*7&lt;=$D83,DATE($B$1,1,1)+1*7-1&gt;=$C83),1,""))</f>
        <v/>
      </c>
      <c r="F83" s="10">
        <f>IF(OR($C83="",$D83=""),"",IF(AND(DATE($B$1,1,1)+(2-1)*7&lt;=$D83,DATE($B$1,1,1)+2*7-1&gt;=$C83),1,""))</f>
        <v/>
      </c>
      <c r="G83" s="10">
        <f>IF(OR($C83="",$D83=""),"",IF(AND(DATE($B$1,1,1)+(3-1)*7&lt;=$D83,DATE($B$1,1,1)+3*7-1&gt;=$C83),1,""))</f>
        <v/>
      </c>
      <c r="H83" s="10">
        <f>IF(OR($C83="",$D83=""),"",IF(AND(DATE($B$1,1,1)+(4-1)*7&lt;=$D83,DATE($B$1,1,1)+4*7-1&gt;=$C83),1,""))</f>
        <v/>
      </c>
      <c r="I83" s="10">
        <f>IF(OR($C83="",$D83=""),"",IF(AND(DATE($B$1,1,1)+(5-1)*7&lt;=$D83,DATE($B$1,1,1)+5*7-1&gt;=$C83),1,""))</f>
        <v/>
      </c>
      <c r="J83" s="10">
        <f>IF(OR($C83="",$D83=""),"",IF(AND(DATE($B$1,1,1)+(6-1)*7&lt;=$D83,DATE($B$1,1,1)+6*7-1&gt;=$C83),1,""))</f>
        <v/>
      </c>
      <c r="K83" s="10">
        <f>IF(OR($C83="",$D83=""),"",IF(AND(DATE($B$1,1,1)+(7-1)*7&lt;=$D83,DATE($B$1,1,1)+7*7-1&gt;=$C83),1,""))</f>
        <v/>
      </c>
      <c r="L83" s="10">
        <f>IF(OR($C83="",$D83=""),"",IF(AND(DATE($B$1,1,1)+(8-1)*7&lt;=$D83,DATE($B$1,1,1)+8*7-1&gt;=$C83),1,""))</f>
        <v/>
      </c>
      <c r="M83" s="10">
        <f>IF(OR($C83="",$D83=""),"",IF(AND(DATE($B$1,1,1)+(9-1)*7&lt;=$D83,DATE($B$1,1,1)+9*7-1&gt;=$C83),1,""))</f>
        <v/>
      </c>
      <c r="N83" s="10">
        <f>IF(OR($C83="",$D83=""),"",IF(AND(DATE($B$1,1,1)+(10-1)*7&lt;=$D83,DATE($B$1,1,1)+10*7-1&gt;=$C83),1,""))</f>
        <v/>
      </c>
      <c r="O83" s="10">
        <f>IF(OR($C83="",$D83=""),"",IF(AND(DATE($B$1,1,1)+(11-1)*7&lt;=$D83,DATE($B$1,1,1)+11*7-1&gt;=$C83),1,""))</f>
        <v/>
      </c>
      <c r="P83" s="10">
        <f>IF(OR($C83="",$D83=""),"",IF(AND(DATE($B$1,1,1)+(12-1)*7&lt;=$D83,DATE($B$1,1,1)+12*7-1&gt;=$C83),1,""))</f>
        <v/>
      </c>
      <c r="Q83" s="10">
        <f>IF(OR($C83="",$D83=""),"",IF(AND(DATE($B$1,1,1)+(13-1)*7&lt;=$D83,DATE($B$1,1,1)+13*7-1&gt;=$C83),1,""))</f>
        <v/>
      </c>
      <c r="R83" s="10">
        <f>IF(OR($C83="",$D83=""),"",IF(AND(DATE($B$1,1,1)+(14-1)*7&lt;=$D83,DATE($B$1,1,1)+14*7-1&gt;=$C83),1,""))</f>
        <v/>
      </c>
      <c r="S83" s="10">
        <f>IF(OR($C83="",$D83=""),"",IF(AND(DATE($B$1,1,1)+(15-1)*7&lt;=$D83,DATE($B$1,1,1)+15*7-1&gt;=$C83),1,""))</f>
        <v/>
      </c>
      <c r="T83" s="10">
        <f>IF(OR($C83="",$D83=""),"",IF(AND(DATE($B$1,1,1)+(16-1)*7&lt;=$D83,DATE($B$1,1,1)+16*7-1&gt;=$C83),1,""))</f>
        <v/>
      </c>
      <c r="U83" s="10">
        <f>IF(OR($C83="",$D83=""),"",IF(AND(DATE($B$1,1,1)+(17-1)*7&lt;=$D83,DATE($B$1,1,1)+17*7-1&gt;=$C83),1,""))</f>
        <v/>
      </c>
      <c r="V83" s="10">
        <f>IF(OR($C83="",$D83=""),"",IF(AND(DATE($B$1,1,1)+(18-1)*7&lt;=$D83,DATE($B$1,1,1)+18*7-1&gt;=$C83),1,""))</f>
        <v/>
      </c>
      <c r="W83" s="10">
        <f>IF(OR($C83="",$D83=""),"",IF(AND(DATE($B$1,1,1)+(19-1)*7&lt;=$D83,DATE($B$1,1,1)+19*7-1&gt;=$C83),1,""))</f>
        <v/>
      </c>
      <c r="X83" s="10">
        <f>IF(OR($C83="",$D83=""),"",IF(AND(DATE($B$1,1,1)+(20-1)*7&lt;=$D83,DATE($B$1,1,1)+20*7-1&gt;=$C83),1,""))</f>
        <v/>
      </c>
      <c r="Y83" s="10">
        <f>IF(OR($C83="",$D83=""),"",IF(AND(DATE($B$1,1,1)+(21-1)*7&lt;=$D83,DATE($B$1,1,1)+21*7-1&gt;=$C83),1,""))</f>
        <v/>
      </c>
      <c r="Z83" s="10">
        <f>IF(OR($C83="",$D83=""),"",IF(AND(DATE($B$1,1,1)+(22-1)*7&lt;=$D83,DATE($B$1,1,1)+22*7-1&gt;=$C83),1,""))</f>
        <v/>
      </c>
      <c r="AA83" s="10">
        <f>IF(OR($C83="",$D83=""),"",IF(AND(DATE($B$1,1,1)+(23-1)*7&lt;=$D83,DATE($B$1,1,1)+23*7-1&gt;=$C83),1,""))</f>
        <v/>
      </c>
      <c r="AB83" s="10">
        <f>IF(OR($C83="",$D83=""),"",IF(AND(DATE($B$1,1,1)+(24-1)*7&lt;=$D83,DATE($B$1,1,1)+24*7-1&gt;=$C83),1,""))</f>
        <v/>
      </c>
      <c r="AC83" s="10">
        <f>IF(OR($C83="",$D83=""),"",IF(AND(DATE($B$1,1,1)+(25-1)*7&lt;=$D83,DATE($B$1,1,1)+25*7-1&gt;=$C83),1,""))</f>
        <v/>
      </c>
      <c r="AD83" s="10">
        <f>IF(OR($C83="",$D83=""),"",IF(AND(DATE($B$1,1,1)+(26-1)*7&lt;=$D83,DATE($B$1,1,1)+26*7-1&gt;=$C83),1,""))</f>
        <v/>
      </c>
      <c r="AE83" s="10">
        <f>IF(OR($C83="",$D83=""),"",IF(AND(DATE($B$1,1,1)+(27-1)*7&lt;=$D83,DATE($B$1,1,1)+27*7-1&gt;=$C83),1,""))</f>
        <v/>
      </c>
      <c r="AF83" s="10">
        <f>IF(OR($C83="",$D83=""),"",IF(AND(DATE($B$1,1,1)+(28-1)*7&lt;=$D83,DATE($B$1,1,1)+28*7-1&gt;=$C83),1,""))</f>
        <v/>
      </c>
      <c r="AG83" s="10">
        <f>IF(OR($C83="",$D83=""),"",IF(AND(DATE($B$1,1,1)+(29-1)*7&lt;=$D83,DATE($B$1,1,1)+29*7-1&gt;=$C83),1,""))</f>
        <v/>
      </c>
      <c r="AH83" s="10">
        <f>IF(OR($C83="",$D83=""),"",IF(AND(DATE($B$1,1,1)+(30-1)*7&lt;=$D83,DATE($B$1,1,1)+30*7-1&gt;=$C83),1,""))</f>
        <v/>
      </c>
      <c r="AI83" s="10">
        <f>IF(OR($C83="",$D83=""),"",IF(AND(DATE($B$1,1,1)+(31-1)*7&lt;=$D83,DATE($B$1,1,1)+31*7-1&gt;=$C83),1,""))</f>
        <v/>
      </c>
      <c r="AJ83" s="10">
        <f>IF(OR($C83="",$D83=""),"",IF(AND(DATE($B$1,1,1)+(32-1)*7&lt;=$D83,DATE($B$1,1,1)+32*7-1&gt;=$C83),1,""))</f>
        <v/>
      </c>
      <c r="AK83" s="10">
        <f>IF(OR($C83="",$D83=""),"",IF(AND(DATE($B$1,1,1)+(33-1)*7&lt;=$D83,DATE($B$1,1,1)+33*7-1&gt;=$C83),1,""))</f>
        <v/>
      </c>
      <c r="AL83" s="10">
        <f>IF(OR($C83="",$D83=""),"",IF(AND(DATE($B$1,1,1)+(34-1)*7&lt;=$D83,DATE($B$1,1,1)+34*7-1&gt;=$C83),1,""))</f>
        <v/>
      </c>
      <c r="AM83" s="10">
        <f>IF(OR($C83="",$D83=""),"",IF(AND(DATE($B$1,1,1)+(35-1)*7&lt;=$D83,DATE($B$1,1,1)+35*7-1&gt;=$C83),1,""))</f>
        <v/>
      </c>
      <c r="AN83" s="10">
        <f>IF(OR($C83="",$D83=""),"",IF(AND(DATE($B$1,1,1)+(36-1)*7&lt;=$D83,DATE($B$1,1,1)+36*7-1&gt;=$C83),1,""))</f>
        <v/>
      </c>
      <c r="AO83" s="10">
        <f>IF(OR($C83="",$D83=""),"",IF(AND(DATE($B$1,1,1)+(37-1)*7&lt;=$D83,DATE($B$1,1,1)+37*7-1&gt;=$C83),1,""))</f>
        <v/>
      </c>
      <c r="AP83" s="10">
        <f>IF(OR($C83="",$D83=""),"",IF(AND(DATE($B$1,1,1)+(38-1)*7&lt;=$D83,DATE($B$1,1,1)+38*7-1&gt;=$C83),1,""))</f>
        <v/>
      </c>
      <c r="AQ83" s="10">
        <f>IF(OR($C83="",$D83=""),"",IF(AND(DATE($B$1,1,1)+(39-1)*7&lt;=$D83,DATE($B$1,1,1)+39*7-1&gt;=$C83),1,""))</f>
        <v/>
      </c>
      <c r="AR83" s="10">
        <f>IF(OR($C83="",$D83=""),"",IF(AND(DATE($B$1,1,1)+(40-1)*7&lt;=$D83,DATE($B$1,1,1)+40*7-1&gt;=$C83),1,""))</f>
        <v/>
      </c>
      <c r="AS83" s="10">
        <f>IF(OR($C83="",$D83=""),"",IF(AND(DATE($B$1,1,1)+(41-1)*7&lt;=$D83,DATE($B$1,1,1)+41*7-1&gt;=$C83),1,""))</f>
        <v/>
      </c>
      <c r="AT83" s="10">
        <f>IF(OR($C83="",$D83=""),"",IF(AND(DATE($B$1,1,1)+(42-1)*7&lt;=$D83,DATE($B$1,1,1)+42*7-1&gt;=$C83),1,""))</f>
        <v/>
      </c>
      <c r="AU83" s="10">
        <f>IF(OR($C83="",$D83=""),"",IF(AND(DATE($B$1,1,1)+(43-1)*7&lt;=$D83,DATE($B$1,1,1)+43*7-1&gt;=$C83),1,""))</f>
        <v/>
      </c>
      <c r="AV83" s="10">
        <f>IF(OR($C83="",$D83=""),"",IF(AND(DATE($B$1,1,1)+(44-1)*7&lt;=$D83,DATE($B$1,1,1)+44*7-1&gt;=$C83),1,""))</f>
        <v/>
      </c>
      <c r="AW83" s="10">
        <f>IF(OR($C83="",$D83=""),"",IF(AND(DATE($B$1,1,1)+(45-1)*7&lt;=$D83,DATE($B$1,1,1)+45*7-1&gt;=$C83),1,""))</f>
        <v/>
      </c>
      <c r="AX83" s="10">
        <f>IF(OR($C83="",$D83=""),"",IF(AND(DATE($B$1,1,1)+(46-1)*7&lt;=$D83,DATE($B$1,1,1)+46*7-1&gt;=$C83),1,""))</f>
        <v/>
      </c>
      <c r="AY83" s="10">
        <f>IF(OR($C83="",$D83=""),"",IF(AND(DATE($B$1,1,1)+(47-1)*7&lt;=$D83,DATE($B$1,1,1)+47*7-1&gt;=$C83),1,""))</f>
        <v/>
      </c>
      <c r="AZ83" s="10">
        <f>IF(OR($C83="",$D83=""),"",IF(AND(DATE($B$1,1,1)+(48-1)*7&lt;=$D83,DATE($B$1,1,1)+48*7-1&gt;=$C83),1,""))</f>
        <v/>
      </c>
      <c r="BA83" s="10">
        <f>IF(OR($C83="",$D83=""),"",IF(AND(DATE($B$1,1,1)+(49-1)*7&lt;=$D83,DATE($B$1,1,1)+49*7-1&gt;=$C83),1,""))</f>
        <v/>
      </c>
      <c r="BB83" s="10">
        <f>IF(OR($C83="",$D83=""),"",IF(AND(DATE($B$1,1,1)+(50-1)*7&lt;=$D83,DATE($B$1,1,1)+50*7-1&gt;=$C83),1,""))</f>
        <v/>
      </c>
      <c r="BC83" s="10">
        <f>IF(OR($C83="",$D83=""),"",IF(AND(DATE($B$1,1,1)+(51-1)*7&lt;=$D83,DATE($B$1,1,1)+51*7-1&gt;=$C83),1,""))</f>
        <v/>
      </c>
      <c r="BD83" s="10">
        <f>IF(OR($C83="",$D83=""),"",IF(AND(DATE($B$1,1,1)+(52-1)*7&lt;=$D83,DATE($B$1,1,1)+52*7-1&gt;=$C83),1,""))</f>
        <v/>
      </c>
      <c r="BE83" s="10">
        <f>IF(OR($C83="",$D83=""),"",IF(AND(DATE($B$1,1,1)+(53-1)*7&lt;=$D83,DATE($B$1,1,1)+53*7-1&gt;=$C83),1,""))</f>
        <v/>
      </c>
      <c r="BF83" s="10">
        <f>IF(OR($C83="",$D83=""),"",IF(AND(DATE($B$1,1,1)+(54-1)*7&lt;=$D83,DATE($B$1,1,1)+54*7-1&gt;=$C83),1,""))</f>
        <v/>
      </c>
    </row>
    <row r="84">
      <c r="A84" s="6" t="n"/>
      <c r="B84" s="6" t="n"/>
      <c r="C84" s="11" t="n"/>
      <c r="D84" s="11" t="n"/>
      <c r="E84" s="10">
        <f>IF(OR($C84="",$D84=""),"",IF(AND(DATE($B$1,1,1)+(1-1)*7&lt;=$D84,DATE($B$1,1,1)+1*7-1&gt;=$C84),1,""))</f>
        <v/>
      </c>
      <c r="F84" s="10">
        <f>IF(OR($C84="",$D84=""),"",IF(AND(DATE($B$1,1,1)+(2-1)*7&lt;=$D84,DATE($B$1,1,1)+2*7-1&gt;=$C84),1,""))</f>
        <v/>
      </c>
      <c r="G84" s="10">
        <f>IF(OR($C84="",$D84=""),"",IF(AND(DATE($B$1,1,1)+(3-1)*7&lt;=$D84,DATE($B$1,1,1)+3*7-1&gt;=$C84),1,""))</f>
        <v/>
      </c>
      <c r="H84" s="10">
        <f>IF(OR($C84="",$D84=""),"",IF(AND(DATE($B$1,1,1)+(4-1)*7&lt;=$D84,DATE($B$1,1,1)+4*7-1&gt;=$C84),1,""))</f>
        <v/>
      </c>
      <c r="I84" s="10">
        <f>IF(OR($C84="",$D84=""),"",IF(AND(DATE($B$1,1,1)+(5-1)*7&lt;=$D84,DATE($B$1,1,1)+5*7-1&gt;=$C84),1,""))</f>
        <v/>
      </c>
      <c r="J84" s="10">
        <f>IF(OR($C84="",$D84=""),"",IF(AND(DATE($B$1,1,1)+(6-1)*7&lt;=$D84,DATE($B$1,1,1)+6*7-1&gt;=$C84),1,""))</f>
        <v/>
      </c>
      <c r="K84" s="10">
        <f>IF(OR($C84="",$D84=""),"",IF(AND(DATE($B$1,1,1)+(7-1)*7&lt;=$D84,DATE($B$1,1,1)+7*7-1&gt;=$C84),1,""))</f>
        <v/>
      </c>
      <c r="L84" s="10">
        <f>IF(OR($C84="",$D84=""),"",IF(AND(DATE($B$1,1,1)+(8-1)*7&lt;=$D84,DATE($B$1,1,1)+8*7-1&gt;=$C84),1,""))</f>
        <v/>
      </c>
      <c r="M84" s="10">
        <f>IF(OR($C84="",$D84=""),"",IF(AND(DATE($B$1,1,1)+(9-1)*7&lt;=$D84,DATE($B$1,1,1)+9*7-1&gt;=$C84),1,""))</f>
        <v/>
      </c>
      <c r="N84" s="10">
        <f>IF(OR($C84="",$D84=""),"",IF(AND(DATE($B$1,1,1)+(10-1)*7&lt;=$D84,DATE($B$1,1,1)+10*7-1&gt;=$C84),1,""))</f>
        <v/>
      </c>
      <c r="O84" s="10">
        <f>IF(OR($C84="",$D84=""),"",IF(AND(DATE($B$1,1,1)+(11-1)*7&lt;=$D84,DATE($B$1,1,1)+11*7-1&gt;=$C84),1,""))</f>
        <v/>
      </c>
      <c r="P84" s="10">
        <f>IF(OR($C84="",$D84=""),"",IF(AND(DATE($B$1,1,1)+(12-1)*7&lt;=$D84,DATE($B$1,1,1)+12*7-1&gt;=$C84),1,""))</f>
        <v/>
      </c>
      <c r="Q84" s="10">
        <f>IF(OR($C84="",$D84=""),"",IF(AND(DATE($B$1,1,1)+(13-1)*7&lt;=$D84,DATE($B$1,1,1)+13*7-1&gt;=$C84),1,""))</f>
        <v/>
      </c>
      <c r="R84" s="10">
        <f>IF(OR($C84="",$D84=""),"",IF(AND(DATE($B$1,1,1)+(14-1)*7&lt;=$D84,DATE($B$1,1,1)+14*7-1&gt;=$C84),1,""))</f>
        <v/>
      </c>
      <c r="S84" s="10">
        <f>IF(OR($C84="",$D84=""),"",IF(AND(DATE($B$1,1,1)+(15-1)*7&lt;=$D84,DATE($B$1,1,1)+15*7-1&gt;=$C84),1,""))</f>
        <v/>
      </c>
      <c r="T84" s="10">
        <f>IF(OR($C84="",$D84=""),"",IF(AND(DATE($B$1,1,1)+(16-1)*7&lt;=$D84,DATE($B$1,1,1)+16*7-1&gt;=$C84),1,""))</f>
        <v/>
      </c>
      <c r="U84" s="10">
        <f>IF(OR($C84="",$D84=""),"",IF(AND(DATE($B$1,1,1)+(17-1)*7&lt;=$D84,DATE($B$1,1,1)+17*7-1&gt;=$C84),1,""))</f>
        <v/>
      </c>
      <c r="V84" s="10">
        <f>IF(OR($C84="",$D84=""),"",IF(AND(DATE($B$1,1,1)+(18-1)*7&lt;=$D84,DATE($B$1,1,1)+18*7-1&gt;=$C84),1,""))</f>
        <v/>
      </c>
      <c r="W84" s="10">
        <f>IF(OR($C84="",$D84=""),"",IF(AND(DATE($B$1,1,1)+(19-1)*7&lt;=$D84,DATE($B$1,1,1)+19*7-1&gt;=$C84),1,""))</f>
        <v/>
      </c>
      <c r="X84" s="10">
        <f>IF(OR($C84="",$D84=""),"",IF(AND(DATE($B$1,1,1)+(20-1)*7&lt;=$D84,DATE($B$1,1,1)+20*7-1&gt;=$C84),1,""))</f>
        <v/>
      </c>
      <c r="Y84" s="10">
        <f>IF(OR($C84="",$D84=""),"",IF(AND(DATE($B$1,1,1)+(21-1)*7&lt;=$D84,DATE($B$1,1,1)+21*7-1&gt;=$C84),1,""))</f>
        <v/>
      </c>
      <c r="Z84" s="10">
        <f>IF(OR($C84="",$D84=""),"",IF(AND(DATE($B$1,1,1)+(22-1)*7&lt;=$D84,DATE($B$1,1,1)+22*7-1&gt;=$C84),1,""))</f>
        <v/>
      </c>
      <c r="AA84" s="10">
        <f>IF(OR($C84="",$D84=""),"",IF(AND(DATE($B$1,1,1)+(23-1)*7&lt;=$D84,DATE($B$1,1,1)+23*7-1&gt;=$C84),1,""))</f>
        <v/>
      </c>
      <c r="AB84" s="10">
        <f>IF(OR($C84="",$D84=""),"",IF(AND(DATE($B$1,1,1)+(24-1)*7&lt;=$D84,DATE($B$1,1,1)+24*7-1&gt;=$C84),1,""))</f>
        <v/>
      </c>
      <c r="AC84" s="10">
        <f>IF(OR($C84="",$D84=""),"",IF(AND(DATE($B$1,1,1)+(25-1)*7&lt;=$D84,DATE($B$1,1,1)+25*7-1&gt;=$C84),1,""))</f>
        <v/>
      </c>
      <c r="AD84" s="10">
        <f>IF(OR($C84="",$D84=""),"",IF(AND(DATE($B$1,1,1)+(26-1)*7&lt;=$D84,DATE($B$1,1,1)+26*7-1&gt;=$C84),1,""))</f>
        <v/>
      </c>
      <c r="AE84" s="10">
        <f>IF(OR($C84="",$D84=""),"",IF(AND(DATE($B$1,1,1)+(27-1)*7&lt;=$D84,DATE($B$1,1,1)+27*7-1&gt;=$C84),1,""))</f>
        <v/>
      </c>
      <c r="AF84" s="10">
        <f>IF(OR($C84="",$D84=""),"",IF(AND(DATE($B$1,1,1)+(28-1)*7&lt;=$D84,DATE($B$1,1,1)+28*7-1&gt;=$C84),1,""))</f>
        <v/>
      </c>
      <c r="AG84" s="10">
        <f>IF(OR($C84="",$D84=""),"",IF(AND(DATE($B$1,1,1)+(29-1)*7&lt;=$D84,DATE($B$1,1,1)+29*7-1&gt;=$C84),1,""))</f>
        <v/>
      </c>
      <c r="AH84" s="10">
        <f>IF(OR($C84="",$D84=""),"",IF(AND(DATE($B$1,1,1)+(30-1)*7&lt;=$D84,DATE($B$1,1,1)+30*7-1&gt;=$C84),1,""))</f>
        <v/>
      </c>
      <c r="AI84" s="10">
        <f>IF(OR($C84="",$D84=""),"",IF(AND(DATE($B$1,1,1)+(31-1)*7&lt;=$D84,DATE($B$1,1,1)+31*7-1&gt;=$C84),1,""))</f>
        <v/>
      </c>
      <c r="AJ84" s="10">
        <f>IF(OR($C84="",$D84=""),"",IF(AND(DATE($B$1,1,1)+(32-1)*7&lt;=$D84,DATE($B$1,1,1)+32*7-1&gt;=$C84),1,""))</f>
        <v/>
      </c>
      <c r="AK84" s="10">
        <f>IF(OR($C84="",$D84=""),"",IF(AND(DATE($B$1,1,1)+(33-1)*7&lt;=$D84,DATE($B$1,1,1)+33*7-1&gt;=$C84),1,""))</f>
        <v/>
      </c>
      <c r="AL84" s="10">
        <f>IF(OR($C84="",$D84=""),"",IF(AND(DATE($B$1,1,1)+(34-1)*7&lt;=$D84,DATE($B$1,1,1)+34*7-1&gt;=$C84),1,""))</f>
        <v/>
      </c>
      <c r="AM84" s="10">
        <f>IF(OR($C84="",$D84=""),"",IF(AND(DATE($B$1,1,1)+(35-1)*7&lt;=$D84,DATE($B$1,1,1)+35*7-1&gt;=$C84),1,""))</f>
        <v/>
      </c>
      <c r="AN84" s="10">
        <f>IF(OR($C84="",$D84=""),"",IF(AND(DATE($B$1,1,1)+(36-1)*7&lt;=$D84,DATE($B$1,1,1)+36*7-1&gt;=$C84),1,""))</f>
        <v/>
      </c>
      <c r="AO84" s="10">
        <f>IF(OR($C84="",$D84=""),"",IF(AND(DATE($B$1,1,1)+(37-1)*7&lt;=$D84,DATE($B$1,1,1)+37*7-1&gt;=$C84),1,""))</f>
        <v/>
      </c>
      <c r="AP84" s="10">
        <f>IF(OR($C84="",$D84=""),"",IF(AND(DATE($B$1,1,1)+(38-1)*7&lt;=$D84,DATE($B$1,1,1)+38*7-1&gt;=$C84),1,""))</f>
        <v/>
      </c>
      <c r="AQ84" s="10">
        <f>IF(OR($C84="",$D84=""),"",IF(AND(DATE($B$1,1,1)+(39-1)*7&lt;=$D84,DATE($B$1,1,1)+39*7-1&gt;=$C84),1,""))</f>
        <v/>
      </c>
      <c r="AR84" s="10">
        <f>IF(OR($C84="",$D84=""),"",IF(AND(DATE($B$1,1,1)+(40-1)*7&lt;=$D84,DATE($B$1,1,1)+40*7-1&gt;=$C84),1,""))</f>
        <v/>
      </c>
      <c r="AS84" s="10">
        <f>IF(OR($C84="",$D84=""),"",IF(AND(DATE($B$1,1,1)+(41-1)*7&lt;=$D84,DATE($B$1,1,1)+41*7-1&gt;=$C84),1,""))</f>
        <v/>
      </c>
      <c r="AT84" s="10">
        <f>IF(OR($C84="",$D84=""),"",IF(AND(DATE($B$1,1,1)+(42-1)*7&lt;=$D84,DATE($B$1,1,1)+42*7-1&gt;=$C84),1,""))</f>
        <v/>
      </c>
      <c r="AU84" s="10">
        <f>IF(OR($C84="",$D84=""),"",IF(AND(DATE($B$1,1,1)+(43-1)*7&lt;=$D84,DATE($B$1,1,1)+43*7-1&gt;=$C84),1,""))</f>
        <v/>
      </c>
      <c r="AV84" s="10">
        <f>IF(OR($C84="",$D84=""),"",IF(AND(DATE($B$1,1,1)+(44-1)*7&lt;=$D84,DATE($B$1,1,1)+44*7-1&gt;=$C84),1,""))</f>
        <v/>
      </c>
      <c r="AW84" s="10">
        <f>IF(OR($C84="",$D84=""),"",IF(AND(DATE($B$1,1,1)+(45-1)*7&lt;=$D84,DATE($B$1,1,1)+45*7-1&gt;=$C84),1,""))</f>
        <v/>
      </c>
      <c r="AX84" s="10">
        <f>IF(OR($C84="",$D84=""),"",IF(AND(DATE($B$1,1,1)+(46-1)*7&lt;=$D84,DATE($B$1,1,1)+46*7-1&gt;=$C84),1,""))</f>
        <v/>
      </c>
      <c r="AY84" s="10">
        <f>IF(OR($C84="",$D84=""),"",IF(AND(DATE($B$1,1,1)+(47-1)*7&lt;=$D84,DATE($B$1,1,1)+47*7-1&gt;=$C84),1,""))</f>
        <v/>
      </c>
      <c r="AZ84" s="10">
        <f>IF(OR($C84="",$D84=""),"",IF(AND(DATE($B$1,1,1)+(48-1)*7&lt;=$D84,DATE($B$1,1,1)+48*7-1&gt;=$C84),1,""))</f>
        <v/>
      </c>
      <c r="BA84" s="10">
        <f>IF(OR($C84="",$D84=""),"",IF(AND(DATE($B$1,1,1)+(49-1)*7&lt;=$D84,DATE($B$1,1,1)+49*7-1&gt;=$C84),1,""))</f>
        <v/>
      </c>
      <c r="BB84" s="10">
        <f>IF(OR($C84="",$D84=""),"",IF(AND(DATE($B$1,1,1)+(50-1)*7&lt;=$D84,DATE($B$1,1,1)+50*7-1&gt;=$C84),1,""))</f>
        <v/>
      </c>
      <c r="BC84" s="10">
        <f>IF(OR($C84="",$D84=""),"",IF(AND(DATE($B$1,1,1)+(51-1)*7&lt;=$D84,DATE($B$1,1,1)+51*7-1&gt;=$C84),1,""))</f>
        <v/>
      </c>
      <c r="BD84" s="10">
        <f>IF(OR($C84="",$D84=""),"",IF(AND(DATE($B$1,1,1)+(52-1)*7&lt;=$D84,DATE($B$1,1,1)+52*7-1&gt;=$C84),1,""))</f>
        <v/>
      </c>
      <c r="BE84" s="10">
        <f>IF(OR($C84="",$D84=""),"",IF(AND(DATE($B$1,1,1)+(53-1)*7&lt;=$D84,DATE($B$1,1,1)+53*7-1&gt;=$C84),1,""))</f>
        <v/>
      </c>
      <c r="BF84" s="10">
        <f>IF(OR($C84="",$D84=""),"",IF(AND(DATE($B$1,1,1)+(54-1)*7&lt;=$D84,DATE($B$1,1,1)+54*7-1&gt;=$C84),1,""))</f>
        <v/>
      </c>
    </row>
    <row r="85">
      <c r="A85" s="6" t="n"/>
      <c r="B85" s="6" t="n"/>
      <c r="C85" s="11" t="n"/>
      <c r="D85" s="11" t="n"/>
      <c r="E85" s="10">
        <f>IF(OR($C85="",$D85=""),"",IF(AND(DATE($B$1,1,1)+(1-1)*7&lt;=$D85,DATE($B$1,1,1)+1*7-1&gt;=$C85),1,""))</f>
        <v/>
      </c>
      <c r="F85" s="10">
        <f>IF(OR($C85="",$D85=""),"",IF(AND(DATE($B$1,1,1)+(2-1)*7&lt;=$D85,DATE($B$1,1,1)+2*7-1&gt;=$C85),1,""))</f>
        <v/>
      </c>
      <c r="G85" s="10">
        <f>IF(OR($C85="",$D85=""),"",IF(AND(DATE($B$1,1,1)+(3-1)*7&lt;=$D85,DATE($B$1,1,1)+3*7-1&gt;=$C85),1,""))</f>
        <v/>
      </c>
      <c r="H85" s="10">
        <f>IF(OR($C85="",$D85=""),"",IF(AND(DATE($B$1,1,1)+(4-1)*7&lt;=$D85,DATE($B$1,1,1)+4*7-1&gt;=$C85),1,""))</f>
        <v/>
      </c>
      <c r="I85" s="10">
        <f>IF(OR($C85="",$D85=""),"",IF(AND(DATE($B$1,1,1)+(5-1)*7&lt;=$D85,DATE($B$1,1,1)+5*7-1&gt;=$C85),1,""))</f>
        <v/>
      </c>
      <c r="J85" s="10">
        <f>IF(OR($C85="",$D85=""),"",IF(AND(DATE($B$1,1,1)+(6-1)*7&lt;=$D85,DATE($B$1,1,1)+6*7-1&gt;=$C85),1,""))</f>
        <v/>
      </c>
      <c r="K85" s="10">
        <f>IF(OR($C85="",$D85=""),"",IF(AND(DATE($B$1,1,1)+(7-1)*7&lt;=$D85,DATE($B$1,1,1)+7*7-1&gt;=$C85),1,""))</f>
        <v/>
      </c>
      <c r="L85" s="10">
        <f>IF(OR($C85="",$D85=""),"",IF(AND(DATE($B$1,1,1)+(8-1)*7&lt;=$D85,DATE($B$1,1,1)+8*7-1&gt;=$C85),1,""))</f>
        <v/>
      </c>
      <c r="M85" s="10">
        <f>IF(OR($C85="",$D85=""),"",IF(AND(DATE($B$1,1,1)+(9-1)*7&lt;=$D85,DATE($B$1,1,1)+9*7-1&gt;=$C85),1,""))</f>
        <v/>
      </c>
      <c r="N85" s="10">
        <f>IF(OR($C85="",$D85=""),"",IF(AND(DATE($B$1,1,1)+(10-1)*7&lt;=$D85,DATE($B$1,1,1)+10*7-1&gt;=$C85),1,""))</f>
        <v/>
      </c>
      <c r="O85" s="10">
        <f>IF(OR($C85="",$D85=""),"",IF(AND(DATE($B$1,1,1)+(11-1)*7&lt;=$D85,DATE($B$1,1,1)+11*7-1&gt;=$C85),1,""))</f>
        <v/>
      </c>
      <c r="P85" s="10">
        <f>IF(OR($C85="",$D85=""),"",IF(AND(DATE($B$1,1,1)+(12-1)*7&lt;=$D85,DATE($B$1,1,1)+12*7-1&gt;=$C85),1,""))</f>
        <v/>
      </c>
      <c r="Q85" s="10">
        <f>IF(OR($C85="",$D85=""),"",IF(AND(DATE($B$1,1,1)+(13-1)*7&lt;=$D85,DATE($B$1,1,1)+13*7-1&gt;=$C85),1,""))</f>
        <v/>
      </c>
      <c r="R85" s="10">
        <f>IF(OR($C85="",$D85=""),"",IF(AND(DATE($B$1,1,1)+(14-1)*7&lt;=$D85,DATE($B$1,1,1)+14*7-1&gt;=$C85),1,""))</f>
        <v/>
      </c>
      <c r="S85" s="10">
        <f>IF(OR($C85="",$D85=""),"",IF(AND(DATE($B$1,1,1)+(15-1)*7&lt;=$D85,DATE($B$1,1,1)+15*7-1&gt;=$C85),1,""))</f>
        <v/>
      </c>
      <c r="T85" s="10">
        <f>IF(OR($C85="",$D85=""),"",IF(AND(DATE($B$1,1,1)+(16-1)*7&lt;=$D85,DATE($B$1,1,1)+16*7-1&gt;=$C85),1,""))</f>
        <v/>
      </c>
      <c r="U85" s="10">
        <f>IF(OR($C85="",$D85=""),"",IF(AND(DATE($B$1,1,1)+(17-1)*7&lt;=$D85,DATE($B$1,1,1)+17*7-1&gt;=$C85),1,""))</f>
        <v/>
      </c>
      <c r="V85" s="10">
        <f>IF(OR($C85="",$D85=""),"",IF(AND(DATE($B$1,1,1)+(18-1)*7&lt;=$D85,DATE($B$1,1,1)+18*7-1&gt;=$C85),1,""))</f>
        <v/>
      </c>
      <c r="W85" s="10">
        <f>IF(OR($C85="",$D85=""),"",IF(AND(DATE($B$1,1,1)+(19-1)*7&lt;=$D85,DATE($B$1,1,1)+19*7-1&gt;=$C85),1,""))</f>
        <v/>
      </c>
      <c r="X85" s="10">
        <f>IF(OR($C85="",$D85=""),"",IF(AND(DATE($B$1,1,1)+(20-1)*7&lt;=$D85,DATE($B$1,1,1)+20*7-1&gt;=$C85),1,""))</f>
        <v/>
      </c>
      <c r="Y85" s="10">
        <f>IF(OR($C85="",$D85=""),"",IF(AND(DATE($B$1,1,1)+(21-1)*7&lt;=$D85,DATE($B$1,1,1)+21*7-1&gt;=$C85),1,""))</f>
        <v/>
      </c>
      <c r="Z85" s="10">
        <f>IF(OR($C85="",$D85=""),"",IF(AND(DATE($B$1,1,1)+(22-1)*7&lt;=$D85,DATE($B$1,1,1)+22*7-1&gt;=$C85),1,""))</f>
        <v/>
      </c>
      <c r="AA85" s="10">
        <f>IF(OR($C85="",$D85=""),"",IF(AND(DATE($B$1,1,1)+(23-1)*7&lt;=$D85,DATE($B$1,1,1)+23*7-1&gt;=$C85),1,""))</f>
        <v/>
      </c>
      <c r="AB85" s="10">
        <f>IF(OR($C85="",$D85=""),"",IF(AND(DATE($B$1,1,1)+(24-1)*7&lt;=$D85,DATE($B$1,1,1)+24*7-1&gt;=$C85),1,""))</f>
        <v/>
      </c>
      <c r="AC85" s="10">
        <f>IF(OR($C85="",$D85=""),"",IF(AND(DATE($B$1,1,1)+(25-1)*7&lt;=$D85,DATE($B$1,1,1)+25*7-1&gt;=$C85),1,""))</f>
        <v/>
      </c>
      <c r="AD85" s="10">
        <f>IF(OR($C85="",$D85=""),"",IF(AND(DATE($B$1,1,1)+(26-1)*7&lt;=$D85,DATE($B$1,1,1)+26*7-1&gt;=$C85),1,""))</f>
        <v/>
      </c>
      <c r="AE85" s="10">
        <f>IF(OR($C85="",$D85=""),"",IF(AND(DATE($B$1,1,1)+(27-1)*7&lt;=$D85,DATE($B$1,1,1)+27*7-1&gt;=$C85),1,""))</f>
        <v/>
      </c>
      <c r="AF85" s="10">
        <f>IF(OR($C85="",$D85=""),"",IF(AND(DATE($B$1,1,1)+(28-1)*7&lt;=$D85,DATE($B$1,1,1)+28*7-1&gt;=$C85),1,""))</f>
        <v/>
      </c>
      <c r="AG85" s="10">
        <f>IF(OR($C85="",$D85=""),"",IF(AND(DATE($B$1,1,1)+(29-1)*7&lt;=$D85,DATE($B$1,1,1)+29*7-1&gt;=$C85),1,""))</f>
        <v/>
      </c>
      <c r="AH85" s="10">
        <f>IF(OR($C85="",$D85=""),"",IF(AND(DATE($B$1,1,1)+(30-1)*7&lt;=$D85,DATE($B$1,1,1)+30*7-1&gt;=$C85),1,""))</f>
        <v/>
      </c>
      <c r="AI85" s="10">
        <f>IF(OR($C85="",$D85=""),"",IF(AND(DATE($B$1,1,1)+(31-1)*7&lt;=$D85,DATE($B$1,1,1)+31*7-1&gt;=$C85),1,""))</f>
        <v/>
      </c>
      <c r="AJ85" s="10">
        <f>IF(OR($C85="",$D85=""),"",IF(AND(DATE($B$1,1,1)+(32-1)*7&lt;=$D85,DATE($B$1,1,1)+32*7-1&gt;=$C85),1,""))</f>
        <v/>
      </c>
      <c r="AK85" s="10">
        <f>IF(OR($C85="",$D85=""),"",IF(AND(DATE($B$1,1,1)+(33-1)*7&lt;=$D85,DATE($B$1,1,1)+33*7-1&gt;=$C85),1,""))</f>
        <v/>
      </c>
      <c r="AL85" s="10">
        <f>IF(OR($C85="",$D85=""),"",IF(AND(DATE($B$1,1,1)+(34-1)*7&lt;=$D85,DATE($B$1,1,1)+34*7-1&gt;=$C85),1,""))</f>
        <v/>
      </c>
      <c r="AM85" s="10">
        <f>IF(OR($C85="",$D85=""),"",IF(AND(DATE($B$1,1,1)+(35-1)*7&lt;=$D85,DATE($B$1,1,1)+35*7-1&gt;=$C85),1,""))</f>
        <v/>
      </c>
      <c r="AN85" s="10">
        <f>IF(OR($C85="",$D85=""),"",IF(AND(DATE($B$1,1,1)+(36-1)*7&lt;=$D85,DATE($B$1,1,1)+36*7-1&gt;=$C85),1,""))</f>
        <v/>
      </c>
      <c r="AO85" s="10">
        <f>IF(OR($C85="",$D85=""),"",IF(AND(DATE($B$1,1,1)+(37-1)*7&lt;=$D85,DATE($B$1,1,1)+37*7-1&gt;=$C85),1,""))</f>
        <v/>
      </c>
      <c r="AP85" s="10">
        <f>IF(OR($C85="",$D85=""),"",IF(AND(DATE($B$1,1,1)+(38-1)*7&lt;=$D85,DATE($B$1,1,1)+38*7-1&gt;=$C85),1,""))</f>
        <v/>
      </c>
      <c r="AQ85" s="10">
        <f>IF(OR($C85="",$D85=""),"",IF(AND(DATE($B$1,1,1)+(39-1)*7&lt;=$D85,DATE($B$1,1,1)+39*7-1&gt;=$C85),1,""))</f>
        <v/>
      </c>
      <c r="AR85" s="10">
        <f>IF(OR($C85="",$D85=""),"",IF(AND(DATE($B$1,1,1)+(40-1)*7&lt;=$D85,DATE($B$1,1,1)+40*7-1&gt;=$C85),1,""))</f>
        <v/>
      </c>
      <c r="AS85" s="10">
        <f>IF(OR($C85="",$D85=""),"",IF(AND(DATE($B$1,1,1)+(41-1)*7&lt;=$D85,DATE($B$1,1,1)+41*7-1&gt;=$C85),1,""))</f>
        <v/>
      </c>
      <c r="AT85" s="10">
        <f>IF(OR($C85="",$D85=""),"",IF(AND(DATE($B$1,1,1)+(42-1)*7&lt;=$D85,DATE($B$1,1,1)+42*7-1&gt;=$C85),1,""))</f>
        <v/>
      </c>
      <c r="AU85" s="10">
        <f>IF(OR($C85="",$D85=""),"",IF(AND(DATE($B$1,1,1)+(43-1)*7&lt;=$D85,DATE($B$1,1,1)+43*7-1&gt;=$C85),1,""))</f>
        <v/>
      </c>
      <c r="AV85" s="10">
        <f>IF(OR($C85="",$D85=""),"",IF(AND(DATE($B$1,1,1)+(44-1)*7&lt;=$D85,DATE($B$1,1,1)+44*7-1&gt;=$C85),1,""))</f>
        <v/>
      </c>
      <c r="AW85" s="10">
        <f>IF(OR($C85="",$D85=""),"",IF(AND(DATE($B$1,1,1)+(45-1)*7&lt;=$D85,DATE($B$1,1,1)+45*7-1&gt;=$C85),1,""))</f>
        <v/>
      </c>
      <c r="AX85" s="10">
        <f>IF(OR($C85="",$D85=""),"",IF(AND(DATE($B$1,1,1)+(46-1)*7&lt;=$D85,DATE($B$1,1,1)+46*7-1&gt;=$C85),1,""))</f>
        <v/>
      </c>
      <c r="AY85" s="10">
        <f>IF(OR($C85="",$D85=""),"",IF(AND(DATE($B$1,1,1)+(47-1)*7&lt;=$D85,DATE($B$1,1,1)+47*7-1&gt;=$C85),1,""))</f>
        <v/>
      </c>
      <c r="AZ85" s="10">
        <f>IF(OR($C85="",$D85=""),"",IF(AND(DATE($B$1,1,1)+(48-1)*7&lt;=$D85,DATE($B$1,1,1)+48*7-1&gt;=$C85),1,""))</f>
        <v/>
      </c>
      <c r="BA85" s="10">
        <f>IF(OR($C85="",$D85=""),"",IF(AND(DATE($B$1,1,1)+(49-1)*7&lt;=$D85,DATE($B$1,1,1)+49*7-1&gt;=$C85),1,""))</f>
        <v/>
      </c>
      <c r="BB85" s="10">
        <f>IF(OR($C85="",$D85=""),"",IF(AND(DATE($B$1,1,1)+(50-1)*7&lt;=$D85,DATE($B$1,1,1)+50*7-1&gt;=$C85),1,""))</f>
        <v/>
      </c>
      <c r="BC85" s="10">
        <f>IF(OR($C85="",$D85=""),"",IF(AND(DATE($B$1,1,1)+(51-1)*7&lt;=$D85,DATE($B$1,1,1)+51*7-1&gt;=$C85),1,""))</f>
        <v/>
      </c>
      <c r="BD85" s="10">
        <f>IF(OR($C85="",$D85=""),"",IF(AND(DATE($B$1,1,1)+(52-1)*7&lt;=$D85,DATE($B$1,1,1)+52*7-1&gt;=$C85),1,""))</f>
        <v/>
      </c>
      <c r="BE85" s="10">
        <f>IF(OR($C85="",$D85=""),"",IF(AND(DATE($B$1,1,1)+(53-1)*7&lt;=$D85,DATE($B$1,1,1)+53*7-1&gt;=$C85),1,""))</f>
        <v/>
      </c>
      <c r="BF85" s="10">
        <f>IF(OR($C85="",$D85=""),"",IF(AND(DATE($B$1,1,1)+(54-1)*7&lt;=$D85,DATE($B$1,1,1)+54*7-1&gt;=$C85),1,""))</f>
        <v/>
      </c>
    </row>
    <row r="86">
      <c r="A86" s="6" t="n"/>
      <c r="B86" s="6" t="n"/>
      <c r="C86" s="11" t="n"/>
      <c r="D86" s="11" t="n"/>
      <c r="E86" s="10">
        <f>IF(OR($C86="",$D86=""),"",IF(AND(DATE($B$1,1,1)+(1-1)*7&lt;=$D86,DATE($B$1,1,1)+1*7-1&gt;=$C86),1,""))</f>
        <v/>
      </c>
      <c r="F86" s="10">
        <f>IF(OR($C86="",$D86=""),"",IF(AND(DATE($B$1,1,1)+(2-1)*7&lt;=$D86,DATE($B$1,1,1)+2*7-1&gt;=$C86),1,""))</f>
        <v/>
      </c>
      <c r="G86" s="10">
        <f>IF(OR($C86="",$D86=""),"",IF(AND(DATE($B$1,1,1)+(3-1)*7&lt;=$D86,DATE($B$1,1,1)+3*7-1&gt;=$C86),1,""))</f>
        <v/>
      </c>
      <c r="H86" s="10">
        <f>IF(OR($C86="",$D86=""),"",IF(AND(DATE($B$1,1,1)+(4-1)*7&lt;=$D86,DATE($B$1,1,1)+4*7-1&gt;=$C86),1,""))</f>
        <v/>
      </c>
      <c r="I86" s="10">
        <f>IF(OR($C86="",$D86=""),"",IF(AND(DATE($B$1,1,1)+(5-1)*7&lt;=$D86,DATE($B$1,1,1)+5*7-1&gt;=$C86),1,""))</f>
        <v/>
      </c>
      <c r="J86" s="10">
        <f>IF(OR($C86="",$D86=""),"",IF(AND(DATE($B$1,1,1)+(6-1)*7&lt;=$D86,DATE($B$1,1,1)+6*7-1&gt;=$C86),1,""))</f>
        <v/>
      </c>
      <c r="K86" s="10">
        <f>IF(OR($C86="",$D86=""),"",IF(AND(DATE($B$1,1,1)+(7-1)*7&lt;=$D86,DATE($B$1,1,1)+7*7-1&gt;=$C86),1,""))</f>
        <v/>
      </c>
      <c r="L86" s="10">
        <f>IF(OR($C86="",$D86=""),"",IF(AND(DATE($B$1,1,1)+(8-1)*7&lt;=$D86,DATE($B$1,1,1)+8*7-1&gt;=$C86),1,""))</f>
        <v/>
      </c>
      <c r="M86" s="10">
        <f>IF(OR($C86="",$D86=""),"",IF(AND(DATE($B$1,1,1)+(9-1)*7&lt;=$D86,DATE($B$1,1,1)+9*7-1&gt;=$C86),1,""))</f>
        <v/>
      </c>
      <c r="N86" s="10">
        <f>IF(OR($C86="",$D86=""),"",IF(AND(DATE($B$1,1,1)+(10-1)*7&lt;=$D86,DATE($B$1,1,1)+10*7-1&gt;=$C86),1,""))</f>
        <v/>
      </c>
      <c r="O86" s="10">
        <f>IF(OR($C86="",$D86=""),"",IF(AND(DATE($B$1,1,1)+(11-1)*7&lt;=$D86,DATE($B$1,1,1)+11*7-1&gt;=$C86),1,""))</f>
        <v/>
      </c>
      <c r="P86" s="10">
        <f>IF(OR($C86="",$D86=""),"",IF(AND(DATE($B$1,1,1)+(12-1)*7&lt;=$D86,DATE($B$1,1,1)+12*7-1&gt;=$C86),1,""))</f>
        <v/>
      </c>
      <c r="Q86" s="10">
        <f>IF(OR($C86="",$D86=""),"",IF(AND(DATE($B$1,1,1)+(13-1)*7&lt;=$D86,DATE($B$1,1,1)+13*7-1&gt;=$C86),1,""))</f>
        <v/>
      </c>
      <c r="R86" s="10">
        <f>IF(OR($C86="",$D86=""),"",IF(AND(DATE($B$1,1,1)+(14-1)*7&lt;=$D86,DATE($B$1,1,1)+14*7-1&gt;=$C86),1,""))</f>
        <v/>
      </c>
      <c r="S86" s="10">
        <f>IF(OR($C86="",$D86=""),"",IF(AND(DATE($B$1,1,1)+(15-1)*7&lt;=$D86,DATE($B$1,1,1)+15*7-1&gt;=$C86),1,""))</f>
        <v/>
      </c>
      <c r="T86" s="10">
        <f>IF(OR($C86="",$D86=""),"",IF(AND(DATE($B$1,1,1)+(16-1)*7&lt;=$D86,DATE($B$1,1,1)+16*7-1&gt;=$C86),1,""))</f>
        <v/>
      </c>
      <c r="U86" s="10">
        <f>IF(OR($C86="",$D86=""),"",IF(AND(DATE($B$1,1,1)+(17-1)*7&lt;=$D86,DATE($B$1,1,1)+17*7-1&gt;=$C86),1,""))</f>
        <v/>
      </c>
      <c r="V86" s="10">
        <f>IF(OR($C86="",$D86=""),"",IF(AND(DATE($B$1,1,1)+(18-1)*7&lt;=$D86,DATE($B$1,1,1)+18*7-1&gt;=$C86),1,""))</f>
        <v/>
      </c>
      <c r="W86" s="10">
        <f>IF(OR($C86="",$D86=""),"",IF(AND(DATE($B$1,1,1)+(19-1)*7&lt;=$D86,DATE($B$1,1,1)+19*7-1&gt;=$C86),1,""))</f>
        <v/>
      </c>
      <c r="X86" s="10">
        <f>IF(OR($C86="",$D86=""),"",IF(AND(DATE($B$1,1,1)+(20-1)*7&lt;=$D86,DATE($B$1,1,1)+20*7-1&gt;=$C86),1,""))</f>
        <v/>
      </c>
      <c r="Y86" s="10">
        <f>IF(OR($C86="",$D86=""),"",IF(AND(DATE($B$1,1,1)+(21-1)*7&lt;=$D86,DATE($B$1,1,1)+21*7-1&gt;=$C86),1,""))</f>
        <v/>
      </c>
      <c r="Z86" s="10">
        <f>IF(OR($C86="",$D86=""),"",IF(AND(DATE($B$1,1,1)+(22-1)*7&lt;=$D86,DATE($B$1,1,1)+22*7-1&gt;=$C86),1,""))</f>
        <v/>
      </c>
      <c r="AA86" s="10">
        <f>IF(OR($C86="",$D86=""),"",IF(AND(DATE($B$1,1,1)+(23-1)*7&lt;=$D86,DATE($B$1,1,1)+23*7-1&gt;=$C86),1,""))</f>
        <v/>
      </c>
      <c r="AB86" s="10">
        <f>IF(OR($C86="",$D86=""),"",IF(AND(DATE($B$1,1,1)+(24-1)*7&lt;=$D86,DATE($B$1,1,1)+24*7-1&gt;=$C86),1,""))</f>
        <v/>
      </c>
      <c r="AC86" s="10">
        <f>IF(OR($C86="",$D86=""),"",IF(AND(DATE($B$1,1,1)+(25-1)*7&lt;=$D86,DATE($B$1,1,1)+25*7-1&gt;=$C86),1,""))</f>
        <v/>
      </c>
      <c r="AD86" s="10">
        <f>IF(OR($C86="",$D86=""),"",IF(AND(DATE($B$1,1,1)+(26-1)*7&lt;=$D86,DATE($B$1,1,1)+26*7-1&gt;=$C86),1,""))</f>
        <v/>
      </c>
      <c r="AE86" s="10">
        <f>IF(OR($C86="",$D86=""),"",IF(AND(DATE($B$1,1,1)+(27-1)*7&lt;=$D86,DATE($B$1,1,1)+27*7-1&gt;=$C86),1,""))</f>
        <v/>
      </c>
      <c r="AF86" s="10">
        <f>IF(OR($C86="",$D86=""),"",IF(AND(DATE($B$1,1,1)+(28-1)*7&lt;=$D86,DATE($B$1,1,1)+28*7-1&gt;=$C86),1,""))</f>
        <v/>
      </c>
      <c r="AG86" s="10">
        <f>IF(OR($C86="",$D86=""),"",IF(AND(DATE($B$1,1,1)+(29-1)*7&lt;=$D86,DATE($B$1,1,1)+29*7-1&gt;=$C86),1,""))</f>
        <v/>
      </c>
      <c r="AH86" s="10">
        <f>IF(OR($C86="",$D86=""),"",IF(AND(DATE($B$1,1,1)+(30-1)*7&lt;=$D86,DATE($B$1,1,1)+30*7-1&gt;=$C86),1,""))</f>
        <v/>
      </c>
      <c r="AI86" s="10">
        <f>IF(OR($C86="",$D86=""),"",IF(AND(DATE($B$1,1,1)+(31-1)*7&lt;=$D86,DATE($B$1,1,1)+31*7-1&gt;=$C86),1,""))</f>
        <v/>
      </c>
      <c r="AJ86" s="10">
        <f>IF(OR($C86="",$D86=""),"",IF(AND(DATE($B$1,1,1)+(32-1)*7&lt;=$D86,DATE($B$1,1,1)+32*7-1&gt;=$C86),1,""))</f>
        <v/>
      </c>
      <c r="AK86" s="10">
        <f>IF(OR($C86="",$D86=""),"",IF(AND(DATE($B$1,1,1)+(33-1)*7&lt;=$D86,DATE($B$1,1,1)+33*7-1&gt;=$C86),1,""))</f>
        <v/>
      </c>
      <c r="AL86" s="10">
        <f>IF(OR($C86="",$D86=""),"",IF(AND(DATE($B$1,1,1)+(34-1)*7&lt;=$D86,DATE($B$1,1,1)+34*7-1&gt;=$C86),1,""))</f>
        <v/>
      </c>
      <c r="AM86" s="10">
        <f>IF(OR($C86="",$D86=""),"",IF(AND(DATE($B$1,1,1)+(35-1)*7&lt;=$D86,DATE($B$1,1,1)+35*7-1&gt;=$C86),1,""))</f>
        <v/>
      </c>
      <c r="AN86" s="10">
        <f>IF(OR($C86="",$D86=""),"",IF(AND(DATE($B$1,1,1)+(36-1)*7&lt;=$D86,DATE($B$1,1,1)+36*7-1&gt;=$C86),1,""))</f>
        <v/>
      </c>
      <c r="AO86" s="10">
        <f>IF(OR($C86="",$D86=""),"",IF(AND(DATE($B$1,1,1)+(37-1)*7&lt;=$D86,DATE($B$1,1,1)+37*7-1&gt;=$C86),1,""))</f>
        <v/>
      </c>
      <c r="AP86" s="10">
        <f>IF(OR($C86="",$D86=""),"",IF(AND(DATE($B$1,1,1)+(38-1)*7&lt;=$D86,DATE($B$1,1,1)+38*7-1&gt;=$C86),1,""))</f>
        <v/>
      </c>
      <c r="AQ86" s="10">
        <f>IF(OR($C86="",$D86=""),"",IF(AND(DATE($B$1,1,1)+(39-1)*7&lt;=$D86,DATE($B$1,1,1)+39*7-1&gt;=$C86),1,""))</f>
        <v/>
      </c>
      <c r="AR86" s="10">
        <f>IF(OR($C86="",$D86=""),"",IF(AND(DATE($B$1,1,1)+(40-1)*7&lt;=$D86,DATE($B$1,1,1)+40*7-1&gt;=$C86),1,""))</f>
        <v/>
      </c>
      <c r="AS86" s="10">
        <f>IF(OR($C86="",$D86=""),"",IF(AND(DATE($B$1,1,1)+(41-1)*7&lt;=$D86,DATE($B$1,1,1)+41*7-1&gt;=$C86),1,""))</f>
        <v/>
      </c>
      <c r="AT86" s="10">
        <f>IF(OR($C86="",$D86=""),"",IF(AND(DATE($B$1,1,1)+(42-1)*7&lt;=$D86,DATE($B$1,1,1)+42*7-1&gt;=$C86),1,""))</f>
        <v/>
      </c>
      <c r="AU86" s="10">
        <f>IF(OR($C86="",$D86=""),"",IF(AND(DATE($B$1,1,1)+(43-1)*7&lt;=$D86,DATE($B$1,1,1)+43*7-1&gt;=$C86),1,""))</f>
        <v/>
      </c>
      <c r="AV86" s="10">
        <f>IF(OR($C86="",$D86=""),"",IF(AND(DATE($B$1,1,1)+(44-1)*7&lt;=$D86,DATE($B$1,1,1)+44*7-1&gt;=$C86),1,""))</f>
        <v/>
      </c>
      <c r="AW86" s="10">
        <f>IF(OR($C86="",$D86=""),"",IF(AND(DATE($B$1,1,1)+(45-1)*7&lt;=$D86,DATE($B$1,1,1)+45*7-1&gt;=$C86),1,""))</f>
        <v/>
      </c>
      <c r="AX86" s="10">
        <f>IF(OR($C86="",$D86=""),"",IF(AND(DATE($B$1,1,1)+(46-1)*7&lt;=$D86,DATE($B$1,1,1)+46*7-1&gt;=$C86),1,""))</f>
        <v/>
      </c>
      <c r="AY86" s="10">
        <f>IF(OR($C86="",$D86=""),"",IF(AND(DATE($B$1,1,1)+(47-1)*7&lt;=$D86,DATE($B$1,1,1)+47*7-1&gt;=$C86),1,""))</f>
        <v/>
      </c>
      <c r="AZ86" s="10">
        <f>IF(OR($C86="",$D86=""),"",IF(AND(DATE($B$1,1,1)+(48-1)*7&lt;=$D86,DATE($B$1,1,1)+48*7-1&gt;=$C86),1,""))</f>
        <v/>
      </c>
      <c r="BA86" s="10">
        <f>IF(OR($C86="",$D86=""),"",IF(AND(DATE($B$1,1,1)+(49-1)*7&lt;=$D86,DATE($B$1,1,1)+49*7-1&gt;=$C86),1,""))</f>
        <v/>
      </c>
      <c r="BB86" s="10">
        <f>IF(OR($C86="",$D86=""),"",IF(AND(DATE($B$1,1,1)+(50-1)*7&lt;=$D86,DATE($B$1,1,1)+50*7-1&gt;=$C86),1,""))</f>
        <v/>
      </c>
      <c r="BC86" s="10">
        <f>IF(OR($C86="",$D86=""),"",IF(AND(DATE($B$1,1,1)+(51-1)*7&lt;=$D86,DATE($B$1,1,1)+51*7-1&gt;=$C86),1,""))</f>
        <v/>
      </c>
      <c r="BD86" s="10">
        <f>IF(OR($C86="",$D86=""),"",IF(AND(DATE($B$1,1,1)+(52-1)*7&lt;=$D86,DATE($B$1,1,1)+52*7-1&gt;=$C86),1,""))</f>
        <v/>
      </c>
      <c r="BE86" s="10">
        <f>IF(OR($C86="",$D86=""),"",IF(AND(DATE($B$1,1,1)+(53-1)*7&lt;=$D86,DATE($B$1,1,1)+53*7-1&gt;=$C86),1,""))</f>
        <v/>
      </c>
      <c r="BF86" s="10">
        <f>IF(OR($C86="",$D86=""),"",IF(AND(DATE($B$1,1,1)+(54-1)*7&lt;=$D86,DATE($B$1,1,1)+54*7-1&gt;=$C86),1,""))</f>
        <v/>
      </c>
    </row>
    <row r="87">
      <c r="A87" s="6" t="n"/>
      <c r="B87" s="6" t="n"/>
      <c r="C87" s="11" t="n"/>
      <c r="D87" s="11" t="n"/>
      <c r="E87" s="10">
        <f>IF(OR($C87="",$D87=""),"",IF(AND(DATE($B$1,1,1)+(1-1)*7&lt;=$D87,DATE($B$1,1,1)+1*7-1&gt;=$C87),1,""))</f>
        <v/>
      </c>
      <c r="F87" s="10">
        <f>IF(OR($C87="",$D87=""),"",IF(AND(DATE($B$1,1,1)+(2-1)*7&lt;=$D87,DATE($B$1,1,1)+2*7-1&gt;=$C87),1,""))</f>
        <v/>
      </c>
      <c r="G87" s="10">
        <f>IF(OR($C87="",$D87=""),"",IF(AND(DATE($B$1,1,1)+(3-1)*7&lt;=$D87,DATE($B$1,1,1)+3*7-1&gt;=$C87),1,""))</f>
        <v/>
      </c>
      <c r="H87" s="10">
        <f>IF(OR($C87="",$D87=""),"",IF(AND(DATE($B$1,1,1)+(4-1)*7&lt;=$D87,DATE($B$1,1,1)+4*7-1&gt;=$C87),1,""))</f>
        <v/>
      </c>
      <c r="I87" s="10">
        <f>IF(OR($C87="",$D87=""),"",IF(AND(DATE($B$1,1,1)+(5-1)*7&lt;=$D87,DATE($B$1,1,1)+5*7-1&gt;=$C87),1,""))</f>
        <v/>
      </c>
      <c r="J87" s="10">
        <f>IF(OR($C87="",$D87=""),"",IF(AND(DATE($B$1,1,1)+(6-1)*7&lt;=$D87,DATE($B$1,1,1)+6*7-1&gt;=$C87),1,""))</f>
        <v/>
      </c>
      <c r="K87" s="10">
        <f>IF(OR($C87="",$D87=""),"",IF(AND(DATE($B$1,1,1)+(7-1)*7&lt;=$D87,DATE($B$1,1,1)+7*7-1&gt;=$C87),1,""))</f>
        <v/>
      </c>
      <c r="L87" s="10">
        <f>IF(OR($C87="",$D87=""),"",IF(AND(DATE($B$1,1,1)+(8-1)*7&lt;=$D87,DATE($B$1,1,1)+8*7-1&gt;=$C87),1,""))</f>
        <v/>
      </c>
      <c r="M87" s="10">
        <f>IF(OR($C87="",$D87=""),"",IF(AND(DATE($B$1,1,1)+(9-1)*7&lt;=$D87,DATE($B$1,1,1)+9*7-1&gt;=$C87),1,""))</f>
        <v/>
      </c>
      <c r="N87" s="10">
        <f>IF(OR($C87="",$D87=""),"",IF(AND(DATE($B$1,1,1)+(10-1)*7&lt;=$D87,DATE($B$1,1,1)+10*7-1&gt;=$C87),1,""))</f>
        <v/>
      </c>
      <c r="O87" s="10">
        <f>IF(OR($C87="",$D87=""),"",IF(AND(DATE($B$1,1,1)+(11-1)*7&lt;=$D87,DATE($B$1,1,1)+11*7-1&gt;=$C87),1,""))</f>
        <v/>
      </c>
      <c r="P87" s="10">
        <f>IF(OR($C87="",$D87=""),"",IF(AND(DATE($B$1,1,1)+(12-1)*7&lt;=$D87,DATE($B$1,1,1)+12*7-1&gt;=$C87),1,""))</f>
        <v/>
      </c>
      <c r="Q87" s="10">
        <f>IF(OR($C87="",$D87=""),"",IF(AND(DATE($B$1,1,1)+(13-1)*7&lt;=$D87,DATE($B$1,1,1)+13*7-1&gt;=$C87),1,""))</f>
        <v/>
      </c>
      <c r="R87" s="10">
        <f>IF(OR($C87="",$D87=""),"",IF(AND(DATE($B$1,1,1)+(14-1)*7&lt;=$D87,DATE($B$1,1,1)+14*7-1&gt;=$C87),1,""))</f>
        <v/>
      </c>
      <c r="S87" s="10">
        <f>IF(OR($C87="",$D87=""),"",IF(AND(DATE($B$1,1,1)+(15-1)*7&lt;=$D87,DATE($B$1,1,1)+15*7-1&gt;=$C87),1,""))</f>
        <v/>
      </c>
      <c r="T87" s="10">
        <f>IF(OR($C87="",$D87=""),"",IF(AND(DATE($B$1,1,1)+(16-1)*7&lt;=$D87,DATE($B$1,1,1)+16*7-1&gt;=$C87),1,""))</f>
        <v/>
      </c>
      <c r="U87" s="10">
        <f>IF(OR($C87="",$D87=""),"",IF(AND(DATE($B$1,1,1)+(17-1)*7&lt;=$D87,DATE($B$1,1,1)+17*7-1&gt;=$C87),1,""))</f>
        <v/>
      </c>
      <c r="V87" s="10">
        <f>IF(OR($C87="",$D87=""),"",IF(AND(DATE($B$1,1,1)+(18-1)*7&lt;=$D87,DATE($B$1,1,1)+18*7-1&gt;=$C87),1,""))</f>
        <v/>
      </c>
      <c r="W87" s="10">
        <f>IF(OR($C87="",$D87=""),"",IF(AND(DATE($B$1,1,1)+(19-1)*7&lt;=$D87,DATE($B$1,1,1)+19*7-1&gt;=$C87),1,""))</f>
        <v/>
      </c>
      <c r="X87" s="10">
        <f>IF(OR($C87="",$D87=""),"",IF(AND(DATE($B$1,1,1)+(20-1)*7&lt;=$D87,DATE($B$1,1,1)+20*7-1&gt;=$C87),1,""))</f>
        <v/>
      </c>
      <c r="Y87" s="10">
        <f>IF(OR($C87="",$D87=""),"",IF(AND(DATE($B$1,1,1)+(21-1)*7&lt;=$D87,DATE($B$1,1,1)+21*7-1&gt;=$C87),1,""))</f>
        <v/>
      </c>
      <c r="Z87" s="10">
        <f>IF(OR($C87="",$D87=""),"",IF(AND(DATE($B$1,1,1)+(22-1)*7&lt;=$D87,DATE($B$1,1,1)+22*7-1&gt;=$C87),1,""))</f>
        <v/>
      </c>
      <c r="AA87" s="10">
        <f>IF(OR($C87="",$D87=""),"",IF(AND(DATE($B$1,1,1)+(23-1)*7&lt;=$D87,DATE($B$1,1,1)+23*7-1&gt;=$C87),1,""))</f>
        <v/>
      </c>
      <c r="AB87" s="10">
        <f>IF(OR($C87="",$D87=""),"",IF(AND(DATE($B$1,1,1)+(24-1)*7&lt;=$D87,DATE($B$1,1,1)+24*7-1&gt;=$C87),1,""))</f>
        <v/>
      </c>
      <c r="AC87" s="10">
        <f>IF(OR($C87="",$D87=""),"",IF(AND(DATE($B$1,1,1)+(25-1)*7&lt;=$D87,DATE($B$1,1,1)+25*7-1&gt;=$C87),1,""))</f>
        <v/>
      </c>
      <c r="AD87" s="10">
        <f>IF(OR($C87="",$D87=""),"",IF(AND(DATE($B$1,1,1)+(26-1)*7&lt;=$D87,DATE($B$1,1,1)+26*7-1&gt;=$C87),1,""))</f>
        <v/>
      </c>
      <c r="AE87" s="10">
        <f>IF(OR($C87="",$D87=""),"",IF(AND(DATE($B$1,1,1)+(27-1)*7&lt;=$D87,DATE($B$1,1,1)+27*7-1&gt;=$C87),1,""))</f>
        <v/>
      </c>
      <c r="AF87" s="10">
        <f>IF(OR($C87="",$D87=""),"",IF(AND(DATE($B$1,1,1)+(28-1)*7&lt;=$D87,DATE($B$1,1,1)+28*7-1&gt;=$C87),1,""))</f>
        <v/>
      </c>
      <c r="AG87" s="10">
        <f>IF(OR($C87="",$D87=""),"",IF(AND(DATE($B$1,1,1)+(29-1)*7&lt;=$D87,DATE($B$1,1,1)+29*7-1&gt;=$C87),1,""))</f>
        <v/>
      </c>
      <c r="AH87" s="10">
        <f>IF(OR($C87="",$D87=""),"",IF(AND(DATE($B$1,1,1)+(30-1)*7&lt;=$D87,DATE($B$1,1,1)+30*7-1&gt;=$C87),1,""))</f>
        <v/>
      </c>
      <c r="AI87" s="10">
        <f>IF(OR($C87="",$D87=""),"",IF(AND(DATE($B$1,1,1)+(31-1)*7&lt;=$D87,DATE($B$1,1,1)+31*7-1&gt;=$C87),1,""))</f>
        <v/>
      </c>
      <c r="AJ87" s="10">
        <f>IF(OR($C87="",$D87=""),"",IF(AND(DATE($B$1,1,1)+(32-1)*7&lt;=$D87,DATE($B$1,1,1)+32*7-1&gt;=$C87),1,""))</f>
        <v/>
      </c>
      <c r="AK87" s="10">
        <f>IF(OR($C87="",$D87=""),"",IF(AND(DATE($B$1,1,1)+(33-1)*7&lt;=$D87,DATE($B$1,1,1)+33*7-1&gt;=$C87),1,""))</f>
        <v/>
      </c>
      <c r="AL87" s="10">
        <f>IF(OR($C87="",$D87=""),"",IF(AND(DATE($B$1,1,1)+(34-1)*7&lt;=$D87,DATE($B$1,1,1)+34*7-1&gt;=$C87),1,""))</f>
        <v/>
      </c>
      <c r="AM87" s="10">
        <f>IF(OR($C87="",$D87=""),"",IF(AND(DATE($B$1,1,1)+(35-1)*7&lt;=$D87,DATE($B$1,1,1)+35*7-1&gt;=$C87),1,""))</f>
        <v/>
      </c>
      <c r="AN87" s="10">
        <f>IF(OR($C87="",$D87=""),"",IF(AND(DATE($B$1,1,1)+(36-1)*7&lt;=$D87,DATE($B$1,1,1)+36*7-1&gt;=$C87),1,""))</f>
        <v/>
      </c>
      <c r="AO87" s="10">
        <f>IF(OR($C87="",$D87=""),"",IF(AND(DATE($B$1,1,1)+(37-1)*7&lt;=$D87,DATE($B$1,1,1)+37*7-1&gt;=$C87),1,""))</f>
        <v/>
      </c>
      <c r="AP87" s="10">
        <f>IF(OR($C87="",$D87=""),"",IF(AND(DATE($B$1,1,1)+(38-1)*7&lt;=$D87,DATE($B$1,1,1)+38*7-1&gt;=$C87),1,""))</f>
        <v/>
      </c>
      <c r="AQ87" s="10">
        <f>IF(OR($C87="",$D87=""),"",IF(AND(DATE($B$1,1,1)+(39-1)*7&lt;=$D87,DATE($B$1,1,1)+39*7-1&gt;=$C87),1,""))</f>
        <v/>
      </c>
      <c r="AR87" s="10">
        <f>IF(OR($C87="",$D87=""),"",IF(AND(DATE($B$1,1,1)+(40-1)*7&lt;=$D87,DATE($B$1,1,1)+40*7-1&gt;=$C87),1,""))</f>
        <v/>
      </c>
      <c r="AS87" s="10">
        <f>IF(OR($C87="",$D87=""),"",IF(AND(DATE($B$1,1,1)+(41-1)*7&lt;=$D87,DATE($B$1,1,1)+41*7-1&gt;=$C87),1,""))</f>
        <v/>
      </c>
      <c r="AT87" s="10">
        <f>IF(OR($C87="",$D87=""),"",IF(AND(DATE($B$1,1,1)+(42-1)*7&lt;=$D87,DATE($B$1,1,1)+42*7-1&gt;=$C87),1,""))</f>
        <v/>
      </c>
      <c r="AU87" s="10">
        <f>IF(OR($C87="",$D87=""),"",IF(AND(DATE($B$1,1,1)+(43-1)*7&lt;=$D87,DATE($B$1,1,1)+43*7-1&gt;=$C87),1,""))</f>
        <v/>
      </c>
      <c r="AV87" s="10">
        <f>IF(OR($C87="",$D87=""),"",IF(AND(DATE($B$1,1,1)+(44-1)*7&lt;=$D87,DATE($B$1,1,1)+44*7-1&gt;=$C87),1,""))</f>
        <v/>
      </c>
      <c r="AW87" s="10">
        <f>IF(OR($C87="",$D87=""),"",IF(AND(DATE($B$1,1,1)+(45-1)*7&lt;=$D87,DATE($B$1,1,1)+45*7-1&gt;=$C87),1,""))</f>
        <v/>
      </c>
      <c r="AX87" s="10">
        <f>IF(OR($C87="",$D87=""),"",IF(AND(DATE($B$1,1,1)+(46-1)*7&lt;=$D87,DATE($B$1,1,1)+46*7-1&gt;=$C87),1,""))</f>
        <v/>
      </c>
      <c r="AY87" s="10">
        <f>IF(OR($C87="",$D87=""),"",IF(AND(DATE($B$1,1,1)+(47-1)*7&lt;=$D87,DATE($B$1,1,1)+47*7-1&gt;=$C87),1,""))</f>
        <v/>
      </c>
      <c r="AZ87" s="10">
        <f>IF(OR($C87="",$D87=""),"",IF(AND(DATE($B$1,1,1)+(48-1)*7&lt;=$D87,DATE($B$1,1,1)+48*7-1&gt;=$C87),1,""))</f>
        <v/>
      </c>
      <c r="BA87" s="10">
        <f>IF(OR($C87="",$D87=""),"",IF(AND(DATE($B$1,1,1)+(49-1)*7&lt;=$D87,DATE($B$1,1,1)+49*7-1&gt;=$C87),1,""))</f>
        <v/>
      </c>
      <c r="BB87" s="10">
        <f>IF(OR($C87="",$D87=""),"",IF(AND(DATE($B$1,1,1)+(50-1)*7&lt;=$D87,DATE($B$1,1,1)+50*7-1&gt;=$C87),1,""))</f>
        <v/>
      </c>
      <c r="BC87" s="10">
        <f>IF(OR($C87="",$D87=""),"",IF(AND(DATE($B$1,1,1)+(51-1)*7&lt;=$D87,DATE($B$1,1,1)+51*7-1&gt;=$C87),1,""))</f>
        <v/>
      </c>
      <c r="BD87" s="10">
        <f>IF(OR($C87="",$D87=""),"",IF(AND(DATE($B$1,1,1)+(52-1)*7&lt;=$D87,DATE($B$1,1,1)+52*7-1&gt;=$C87),1,""))</f>
        <v/>
      </c>
      <c r="BE87" s="10">
        <f>IF(OR($C87="",$D87=""),"",IF(AND(DATE($B$1,1,1)+(53-1)*7&lt;=$D87,DATE($B$1,1,1)+53*7-1&gt;=$C87),1,""))</f>
        <v/>
      </c>
      <c r="BF87" s="10">
        <f>IF(OR($C87="",$D87=""),"",IF(AND(DATE($B$1,1,1)+(54-1)*7&lt;=$D87,DATE($B$1,1,1)+54*7-1&gt;=$C87),1,""))</f>
        <v/>
      </c>
    </row>
    <row r="88">
      <c r="A88" s="6" t="n"/>
      <c r="B88" s="6" t="n"/>
      <c r="C88" s="11" t="n"/>
      <c r="D88" s="11" t="n"/>
      <c r="E88" s="10">
        <f>IF(OR($C88="",$D88=""),"",IF(AND(DATE($B$1,1,1)+(1-1)*7&lt;=$D88,DATE($B$1,1,1)+1*7-1&gt;=$C88),1,""))</f>
        <v/>
      </c>
      <c r="F88" s="10">
        <f>IF(OR($C88="",$D88=""),"",IF(AND(DATE($B$1,1,1)+(2-1)*7&lt;=$D88,DATE($B$1,1,1)+2*7-1&gt;=$C88),1,""))</f>
        <v/>
      </c>
      <c r="G88" s="10">
        <f>IF(OR($C88="",$D88=""),"",IF(AND(DATE($B$1,1,1)+(3-1)*7&lt;=$D88,DATE($B$1,1,1)+3*7-1&gt;=$C88),1,""))</f>
        <v/>
      </c>
      <c r="H88" s="10">
        <f>IF(OR($C88="",$D88=""),"",IF(AND(DATE($B$1,1,1)+(4-1)*7&lt;=$D88,DATE($B$1,1,1)+4*7-1&gt;=$C88),1,""))</f>
        <v/>
      </c>
      <c r="I88" s="10">
        <f>IF(OR($C88="",$D88=""),"",IF(AND(DATE($B$1,1,1)+(5-1)*7&lt;=$D88,DATE($B$1,1,1)+5*7-1&gt;=$C88),1,""))</f>
        <v/>
      </c>
      <c r="J88" s="10">
        <f>IF(OR($C88="",$D88=""),"",IF(AND(DATE($B$1,1,1)+(6-1)*7&lt;=$D88,DATE($B$1,1,1)+6*7-1&gt;=$C88),1,""))</f>
        <v/>
      </c>
      <c r="K88" s="10">
        <f>IF(OR($C88="",$D88=""),"",IF(AND(DATE($B$1,1,1)+(7-1)*7&lt;=$D88,DATE($B$1,1,1)+7*7-1&gt;=$C88),1,""))</f>
        <v/>
      </c>
      <c r="L88" s="10">
        <f>IF(OR($C88="",$D88=""),"",IF(AND(DATE($B$1,1,1)+(8-1)*7&lt;=$D88,DATE($B$1,1,1)+8*7-1&gt;=$C88),1,""))</f>
        <v/>
      </c>
      <c r="M88" s="10">
        <f>IF(OR($C88="",$D88=""),"",IF(AND(DATE($B$1,1,1)+(9-1)*7&lt;=$D88,DATE($B$1,1,1)+9*7-1&gt;=$C88),1,""))</f>
        <v/>
      </c>
      <c r="N88" s="10">
        <f>IF(OR($C88="",$D88=""),"",IF(AND(DATE($B$1,1,1)+(10-1)*7&lt;=$D88,DATE($B$1,1,1)+10*7-1&gt;=$C88),1,""))</f>
        <v/>
      </c>
      <c r="O88" s="10">
        <f>IF(OR($C88="",$D88=""),"",IF(AND(DATE($B$1,1,1)+(11-1)*7&lt;=$D88,DATE($B$1,1,1)+11*7-1&gt;=$C88),1,""))</f>
        <v/>
      </c>
      <c r="P88" s="10">
        <f>IF(OR($C88="",$D88=""),"",IF(AND(DATE($B$1,1,1)+(12-1)*7&lt;=$D88,DATE($B$1,1,1)+12*7-1&gt;=$C88),1,""))</f>
        <v/>
      </c>
      <c r="Q88" s="10">
        <f>IF(OR($C88="",$D88=""),"",IF(AND(DATE($B$1,1,1)+(13-1)*7&lt;=$D88,DATE($B$1,1,1)+13*7-1&gt;=$C88),1,""))</f>
        <v/>
      </c>
      <c r="R88" s="10">
        <f>IF(OR($C88="",$D88=""),"",IF(AND(DATE($B$1,1,1)+(14-1)*7&lt;=$D88,DATE($B$1,1,1)+14*7-1&gt;=$C88),1,""))</f>
        <v/>
      </c>
      <c r="S88" s="10">
        <f>IF(OR($C88="",$D88=""),"",IF(AND(DATE($B$1,1,1)+(15-1)*7&lt;=$D88,DATE($B$1,1,1)+15*7-1&gt;=$C88),1,""))</f>
        <v/>
      </c>
      <c r="T88" s="10">
        <f>IF(OR($C88="",$D88=""),"",IF(AND(DATE($B$1,1,1)+(16-1)*7&lt;=$D88,DATE($B$1,1,1)+16*7-1&gt;=$C88),1,""))</f>
        <v/>
      </c>
      <c r="U88" s="10">
        <f>IF(OR($C88="",$D88=""),"",IF(AND(DATE($B$1,1,1)+(17-1)*7&lt;=$D88,DATE($B$1,1,1)+17*7-1&gt;=$C88),1,""))</f>
        <v/>
      </c>
      <c r="V88" s="10">
        <f>IF(OR($C88="",$D88=""),"",IF(AND(DATE($B$1,1,1)+(18-1)*7&lt;=$D88,DATE($B$1,1,1)+18*7-1&gt;=$C88),1,""))</f>
        <v/>
      </c>
      <c r="W88" s="10">
        <f>IF(OR($C88="",$D88=""),"",IF(AND(DATE($B$1,1,1)+(19-1)*7&lt;=$D88,DATE($B$1,1,1)+19*7-1&gt;=$C88),1,""))</f>
        <v/>
      </c>
      <c r="X88" s="10">
        <f>IF(OR($C88="",$D88=""),"",IF(AND(DATE($B$1,1,1)+(20-1)*7&lt;=$D88,DATE($B$1,1,1)+20*7-1&gt;=$C88),1,""))</f>
        <v/>
      </c>
      <c r="Y88" s="10">
        <f>IF(OR($C88="",$D88=""),"",IF(AND(DATE($B$1,1,1)+(21-1)*7&lt;=$D88,DATE($B$1,1,1)+21*7-1&gt;=$C88),1,""))</f>
        <v/>
      </c>
      <c r="Z88" s="10">
        <f>IF(OR($C88="",$D88=""),"",IF(AND(DATE($B$1,1,1)+(22-1)*7&lt;=$D88,DATE($B$1,1,1)+22*7-1&gt;=$C88),1,""))</f>
        <v/>
      </c>
      <c r="AA88" s="10">
        <f>IF(OR($C88="",$D88=""),"",IF(AND(DATE($B$1,1,1)+(23-1)*7&lt;=$D88,DATE($B$1,1,1)+23*7-1&gt;=$C88),1,""))</f>
        <v/>
      </c>
      <c r="AB88" s="10">
        <f>IF(OR($C88="",$D88=""),"",IF(AND(DATE($B$1,1,1)+(24-1)*7&lt;=$D88,DATE($B$1,1,1)+24*7-1&gt;=$C88),1,""))</f>
        <v/>
      </c>
      <c r="AC88" s="10">
        <f>IF(OR($C88="",$D88=""),"",IF(AND(DATE($B$1,1,1)+(25-1)*7&lt;=$D88,DATE($B$1,1,1)+25*7-1&gt;=$C88),1,""))</f>
        <v/>
      </c>
      <c r="AD88" s="10">
        <f>IF(OR($C88="",$D88=""),"",IF(AND(DATE($B$1,1,1)+(26-1)*7&lt;=$D88,DATE($B$1,1,1)+26*7-1&gt;=$C88),1,""))</f>
        <v/>
      </c>
      <c r="AE88" s="10">
        <f>IF(OR($C88="",$D88=""),"",IF(AND(DATE($B$1,1,1)+(27-1)*7&lt;=$D88,DATE($B$1,1,1)+27*7-1&gt;=$C88),1,""))</f>
        <v/>
      </c>
      <c r="AF88" s="10">
        <f>IF(OR($C88="",$D88=""),"",IF(AND(DATE($B$1,1,1)+(28-1)*7&lt;=$D88,DATE($B$1,1,1)+28*7-1&gt;=$C88),1,""))</f>
        <v/>
      </c>
      <c r="AG88" s="10">
        <f>IF(OR($C88="",$D88=""),"",IF(AND(DATE($B$1,1,1)+(29-1)*7&lt;=$D88,DATE($B$1,1,1)+29*7-1&gt;=$C88),1,""))</f>
        <v/>
      </c>
      <c r="AH88" s="10">
        <f>IF(OR($C88="",$D88=""),"",IF(AND(DATE($B$1,1,1)+(30-1)*7&lt;=$D88,DATE($B$1,1,1)+30*7-1&gt;=$C88),1,""))</f>
        <v/>
      </c>
      <c r="AI88" s="10">
        <f>IF(OR($C88="",$D88=""),"",IF(AND(DATE($B$1,1,1)+(31-1)*7&lt;=$D88,DATE($B$1,1,1)+31*7-1&gt;=$C88),1,""))</f>
        <v/>
      </c>
      <c r="AJ88" s="10">
        <f>IF(OR($C88="",$D88=""),"",IF(AND(DATE($B$1,1,1)+(32-1)*7&lt;=$D88,DATE($B$1,1,1)+32*7-1&gt;=$C88),1,""))</f>
        <v/>
      </c>
      <c r="AK88" s="10">
        <f>IF(OR($C88="",$D88=""),"",IF(AND(DATE($B$1,1,1)+(33-1)*7&lt;=$D88,DATE($B$1,1,1)+33*7-1&gt;=$C88),1,""))</f>
        <v/>
      </c>
      <c r="AL88" s="10">
        <f>IF(OR($C88="",$D88=""),"",IF(AND(DATE($B$1,1,1)+(34-1)*7&lt;=$D88,DATE($B$1,1,1)+34*7-1&gt;=$C88),1,""))</f>
        <v/>
      </c>
      <c r="AM88" s="10">
        <f>IF(OR($C88="",$D88=""),"",IF(AND(DATE($B$1,1,1)+(35-1)*7&lt;=$D88,DATE($B$1,1,1)+35*7-1&gt;=$C88),1,""))</f>
        <v/>
      </c>
      <c r="AN88" s="10">
        <f>IF(OR($C88="",$D88=""),"",IF(AND(DATE($B$1,1,1)+(36-1)*7&lt;=$D88,DATE($B$1,1,1)+36*7-1&gt;=$C88),1,""))</f>
        <v/>
      </c>
      <c r="AO88" s="10">
        <f>IF(OR($C88="",$D88=""),"",IF(AND(DATE($B$1,1,1)+(37-1)*7&lt;=$D88,DATE($B$1,1,1)+37*7-1&gt;=$C88),1,""))</f>
        <v/>
      </c>
      <c r="AP88" s="10">
        <f>IF(OR($C88="",$D88=""),"",IF(AND(DATE($B$1,1,1)+(38-1)*7&lt;=$D88,DATE($B$1,1,1)+38*7-1&gt;=$C88),1,""))</f>
        <v/>
      </c>
      <c r="AQ88" s="10">
        <f>IF(OR($C88="",$D88=""),"",IF(AND(DATE($B$1,1,1)+(39-1)*7&lt;=$D88,DATE($B$1,1,1)+39*7-1&gt;=$C88),1,""))</f>
        <v/>
      </c>
      <c r="AR88" s="10">
        <f>IF(OR($C88="",$D88=""),"",IF(AND(DATE($B$1,1,1)+(40-1)*7&lt;=$D88,DATE($B$1,1,1)+40*7-1&gt;=$C88),1,""))</f>
        <v/>
      </c>
      <c r="AS88" s="10">
        <f>IF(OR($C88="",$D88=""),"",IF(AND(DATE($B$1,1,1)+(41-1)*7&lt;=$D88,DATE($B$1,1,1)+41*7-1&gt;=$C88),1,""))</f>
        <v/>
      </c>
      <c r="AT88" s="10">
        <f>IF(OR($C88="",$D88=""),"",IF(AND(DATE($B$1,1,1)+(42-1)*7&lt;=$D88,DATE($B$1,1,1)+42*7-1&gt;=$C88),1,""))</f>
        <v/>
      </c>
      <c r="AU88" s="10">
        <f>IF(OR($C88="",$D88=""),"",IF(AND(DATE($B$1,1,1)+(43-1)*7&lt;=$D88,DATE($B$1,1,1)+43*7-1&gt;=$C88),1,""))</f>
        <v/>
      </c>
      <c r="AV88" s="10">
        <f>IF(OR($C88="",$D88=""),"",IF(AND(DATE($B$1,1,1)+(44-1)*7&lt;=$D88,DATE($B$1,1,1)+44*7-1&gt;=$C88),1,""))</f>
        <v/>
      </c>
      <c r="AW88" s="10">
        <f>IF(OR($C88="",$D88=""),"",IF(AND(DATE($B$1,1,1)+(45-1)*7&lt;=$D88,DATE($B$1,1,1)+45*7-1&gt;=$C88),1,""))</f>
        <v/>
      </c>
      <c r="AX88" s="10">
        <f>IF(OR($C88="",$D88=""),"",IF(AND(DATE($B$1,1,1)+(46-1)*7&lt;=$D88,DATE($B$1,1,1)+46*7-1&gt;=$C88),1,""))</f>
        <v/>
      </c>
      <c r="AY88" s="10">
        <f>IF(OR($C88="",$D88=""),"",IF(AND(DATE($B$1,1,1)+(47-1)*7&lt;=$D88,DATE($B$1,1,1)+47*7-1&gt;=$C88),1,""))</f>
        <v/>
      </c>
      <c r="AZ88" s="10">
        <f>IF(OR($C88="",$D88=""),"",IF(AND(DATE($B$1,1,1)+(48-1)*7&lt;=$D88,DATE($B$1,1,1)+48*7-1&gt;=$C88),1,""))</f>
        <v/>
      </c>
      <c r="BA88" s="10">
        <f>IF(OR($C88="",$D88=""),"",IF(AND(DATE($B$1,1,1)+(49-1)*7&lt;=$D88,DATE($B$1,1,1)+49*7-1&gt;=$C88),1,""))</f>
        <v/>
      </c>
      <c r="BB88" s="10">
        <f>IF(OR($C88="",$D88=""),"",IF(AND(DATE($B$1,1,1)+(50-1)*7&lt;=$D88,DATE($B$1,1,1)+50*7-1&gt;=$C88),1,""))</f>
        <v/>
      </c>
      <c r="BC88" s="10">
        <f>IF(OR($C88="",$D88=""),"",IF(AND(DATE($B$1,1,1)+(51-1)*7&lt;=$D88,DATE($B$1,1,1)+51*7-1&gt;=$C88),1,""))</f>
        <v/>
      </c>
      <c r="BD88" s="10">
        <f>IF(OR($C88="",$D88=""),"",IF(AND(DATE($B$1,1,1)+(52-1)*7&lt;=$D88,DATE($B$1,1,1)+52*7-1&gt;=$C88),1,""))</f>
        <v/>
      </c>
      <c r="BE88" s="10">
        <f>IF(OR($C88="",$D88=""),"",IF(AND(DATE($B$1,1,1)+(53-1)*7&lt;=$D88,DATE($B$1,1,1)+53*7-1&gt;=$C88),1,""))</f>
        <v/>
      </c>
      <c r="BF88" s="10">
        <f>IF(OR($C88="",$D88=""),"",IF(AND(DATE($B$1,1,1)+(54-1)*7&lt;=$D88,DATE($B$1,1,1)+54*7-1&gt;=$C88),1,""))</f>
        <v/>
      </c>
    </row>
    <row r="89">
      <c r="A89" s="6" t="n"/>
      <c r="B89" s="6" t="n"/>
      <c r="C89" s="11" t="n"/>
      <c r="D89" s="11" t="n"/>
      <c r="E89" s="10">
        <f>IF(OR($C89="",$D89=""),"",IF(AND(DATE($B$1,1,1)+(1-1)*7&lt;=$D89,DATE($B$1,1,1)+1*7-1&gt;=$C89),1,""))</f>
        <v/>
      </c>
      <c r="F89" s="10">
        <f>IF(OR($C89="",$D89=""),"",IF(AND(DATE($B$1,1,1)+(2-1)*7&lt;=$D89,DATE($B$1,1,1)+2*7-1&gt;=$C89),1,""))</f>
        <v/>
      </c>
      <c r="G89" s="10">
        <f>IF(OR($C89="",$D89=""),"",IF(AND(DATE($B$1,1,1)+(3-1)*7&lt;=$D89,DATE($B$1,1,1)+3*7-1&gt;=$C89),1,""))</f>
        <v/>
      </c>
      <c r="H89" s="10">
        <f>IF(OR($C89="",$D89=""),"",IF(AND(DATE($B$1,1,1)+(4-1)*7&lt;=$D89,DATE($B$1,1,1)+4*7-1&gt;=$C89),1,""))</f>
        <v/>
      </c>
      <c r="I89" s="10">
        <f>IF(OR($C89="",$D89=""),"",IF(AND(DATE($B$1,1,1)+(5-1)*7&lt;=$D89,DATE($B$1,1,1)+5*7-1&gt;=$C89),1,""))</f>
        <v/>
      </c>
      <c r="J89" s="10">
        <f>IF(OR($C89="",$D89=""),"",IF(AND(DATE($B$1,1,1)+(6-1)*7&lt;=$D89,DATE($B$1,1,1)+6*7-1&gt;=$C89),1,""))</f>
        <v/>
      </c>
      <c r="K89" s="10">
        <f>IF(OR($C89="",$D89=""),"",IF(AND(DATE($B$1,1,1)+(7-1)*7&lt;=$D89,DATE($B$1,1,1)+7*7-1&gt;=$C89),1,""))</f>
        <v/>
      </c>
      <c r="L89" s="10">
        <f>IF(OR($C89="",$D89=""),"",IF(AND(DATE($B$1,1,1)+(8-1)*7&lt;=$D89,DATE($B$1,1,1)+8*7-1&gt;=$C89),1,""))</f>
        <v/>
      </c>
      <c r="M89" s="10">
        <f>IF(OR($C89="",$D89=""),"",IF(AND(DATE($B$1,1,1)+(9-1)*7&lt;=$D89,DATE($B$1,1,1)+9*7-1&gt;=$C89),1,""))</f>
        <v/>
      </c>
      <c r="N89" s="10">
        <f>IF(OR($C89="",$D89=""),"",IF(AND(DATE($B$1,1,1)+(10-1)*7&lt;=$D89,DATE($B$1,1,1)+10*7-1&gt;=$C89),1,""))</f>
        <v/>
      </c>
      <c r="O89" s="10">
        <f>IF(OR($C89="",$D89=""),"",IF(AND(DATE($B$1,1,1)+(11-1)*7&lt;=$D89,DATE($B$1,1,1)+11*7-1&gt;=$C89),1,""))</f>
        <v/>
      </c>
      <c r="P89" s="10">
        <f>IF(OR($C89="",$D89=""),"",IF(AND(DATE($B$1,1,1)+(12-1)*7&lt;=$D89,DATE($B$1,1,1)+12*7-1&gt;=$C89),1,""))</f>
        <v/>
      </c>
      <c r="Q89" s="10">
        <f>IF(OR($C89="",$D89=""),"",IF(AND(DATE($B$1,1,1)+(13-1)*7&lt;=$D89,DATE($B$1,1,1)+13*7-1&gt;=$C89),1,""))</f>
        <v/>
      </c>
      <c r="R89" s="10">
        <f>IF(OR($C89="",$D89=""),"",IF(AND(DATE($B$1,1,1)+(14-1)*7&lt;=$D89,DATE($B$1,1,1)+14*7-1&gt;=$C89),1,""))</f>
        <v/>
      </c>
      <c r="S89" s="10">
        <f>IF(OR($C89="",$D89=""),"",IF(AND(DATE($B$1,1,1)+(15-1)*7&lt;=$D89,DATE($B$1,1,1)+15*7-1&gt;=$C89),1,""))</f>
        <v/>
      </c>
      <c r="T89" s="10">
        <f>IF(OR($C89="",$D89=""),"",IF(AND(DATE($B$1,1,1)+(16-1)*7&lt;=$D89,DATE($B$1,1,1)+16*7-1&gt;=$C89),1,""))</f>
        <v/>
      </c>
      <c r="U89" s="10">
        <f>IF(OR($C89="",$D89=""),"",IF(AND(DATE($B$1,1,1)+(17-1)*7&lt;=$D89,DATE($B$1,1,1)+17*7-1&gt;=$C89),1,""))</f>
        <v/>
      </c>
      <c r="V89" s="10">
        <f>IF(OR($C89="",$D89=""),"",IF(AND(DATE($B$1,1,1)+(18-1)*7&lt;=$D89,DATE($B$1,1,1)+18*7-1&gt;=$C89),1,""))</f>
        <v/>
      </c>
      <c r="W89" s="10">
        <f>IF(OR($C89="",$D89=""),"",IF(AND(DATE($B$1,1,1)+(19-1)*7&lt;=$D89,DATE($B$1,1,1)+19*7-1&gt;=$C89),1,""))</f>
        <v/>
      </c>
      <c r="X89" s="10">
        <f>IF(OR($C89="",$D89=""),"",IF(AND(DATE($B$1,1,1)+(20-1)*7&lt;=$D89,DATE($B$1,1,1)+20*7-1&gt;=$C89),1,""))</f>
        <v/>
      </c>
      <c r="Y89" s="10">
        <f>IF(OR($C89="",$D89=""),"",IF(AND(DATE($B$1,1,1)+(21-1)*7&lt;=$D89,DATE($B$1,1,1)+21*7-1&gt;=$C89),1,""))</f>
        <v/>
      </c>
      <c r="Z89" s="10">
        <f>IF(OR($C89="",$D89=""),"",IF(AND(DATE($B$1,1,1)+(22-1)*7&lt;=$D89,DATE($B$1,1,1)+22*7-1&gt;=$C89),1,""))</f>
        <v/>
      </c>
      <c r="AA89" s="10">
        <f>IF(OR($C89="",$D89=""),"",IF(AND(DATE($B$1,1,1)+(23-1)*7&lt;=$D89,DATE($B$1,1,1)+23*7-1&gt;=$C89),1,""))</f>
        <v/>
      </c>
      <c r="AB89" s="10">
        <f>IF(OR($C89="",$D89=""),"",IF(AND(DATE($B$1,1,1)+(24-1)*7&lt;=$D89,DATE($B$1,1,1)+24*7-1&gt;=$C89),1,""))</f>
        <v/>
      </c>
      <c r="AC89" s="10">
        <f>IF(OR($C89="",$D89=""),"",IF(AND(DATE($B$1,1,1)+(25-1)*7&lt;=$D89,DATE($B$1,1,1)+25*7-1&gt;=$C89),1,""))</f>
        <v/>
      </c>
      <c r="AD89" s="10">
        <f>IF(OR($C89="",$D89=""),"",IF(AND(DATE($B$1,1,1)+(26-1)*7&lt;=$D89,DATE($B$1,1,1)+26*7-1&gt;=$C89),1,""))</f>
        <v/>
      </c>
      <c r="AE89" s="10">
        <f>IF(OR($C89="",$D89=""),"",IF(AND(DATE($B$1,1,1)+(27-1)*7&lt;=$D89,DATE($B$1,1,1)+27*7-1&gt;=$C89),1,""))</f>
        <v/>
      </c>
      <c r="AF89" s="10">
        <f>IF(OR($C89="",$D89=""),"",IF(AND(DATE($B$1,1,1)+(28-1)*7&lt;=$D89,DATE($B$1,1,1)+28*7-1&gt;=$C89),1,""))</f>
        <v/>
      </c>
      <c r="AG89" s="10">
        <f>IF(OR($C89="",$D89=""),"",IF(AND(DATE($B$1,1,1)+(29-1)*7&lt;=$D89,DATE($B$1,1,1)+29*7-1&gt;=$C89),1,""))</f>
        <v/>
      </c>
      <c r="AH89" s="10">
        <f>IF(OR($C89="",$D89=""),"",IF(AND(DATE($B$1,1,1)+(30-1)*7&lt;=$D89,DATE($B$1,1,1)+30*7-1&gt;=$C89),1,""))</f>
        <v/>
      </c>
      <c r="AI89" s="10">
        <f>IF(OR($C89="",$D89=""),"",IF(AND(DATE($B$1,1,1)+(31-1)*7&lt;=$D89,DATE($B$1,1,1)+31*7-1&gt;=$C89),1,""))</f>
        <v/>
      </c>
      <c r="AJ89" s="10">
        <f>IF(OR($C89="",$D89=""),"",IF(AND(DATE($B$1,1,1)+(32-1)*7&lt;=$D89,DATE($B$1,1,1)+32*7-1&gt;=$C89),1,""))</f>
        <v/>
      </c>
      <c r="AK89" s="10">
        <f>IF(OR($C89="",$D89=""),"",IF(AND(DATE($B$1,1,1)+(33-1)*7&lt;=$D89,DATE($B$1,1,1)+33*7-1&gt;=$C89),1,""))</f>
        <v/>
      </c>
      <c r="AL89" s="10">
        <f>IF(OR($C89="",$D89=""),"",IF(AND(DATE($B$1,1,1)+(34-1)*7&lt;=$D89,DATE($B$1,1,1)+34*7-1&gt;=$C89),1,""))</f>
        <v/>
      </c>
      <c r="AM89" s="10">
        <f>IF(OR($C89="",$D89=""),"",IF(AND(DATE($B$1,1,1)+(35-1)*7&lt;=$D89,DATE($B$1,1,1)+35*7-1&gt;=$C89),1,""))</f>
        <v/>
      </c>
      <c r="AN89" s="10">
        <f>IF(OR($C89="",$D89=""),"",IF(AND(DATE($B$1,1,1)+(36-1)*7&lt;=$D89,DATE($B$1,1,1)+36*7-1&gt;=$C89),1,""))</f>
        <v/>
      </c>
      <c r="AO89" s="10">
        <f>IF(OR($C89="",$D89=""),"",IF(AND(DATE($B$1,1,1)+(37-1)*7&lt;=$D89,DATE($B$1,1,1)+37*7-1&gt;=$C89),1,""))</f>
        <v/>
      </c>
      <c r="AP89" s="10">
        <f>IF(OR($C89="",$D89=""),"",IF(AND(DATE($B$1,1,1)+(38-1)*7&lt;=$D89,DATE($B$1,1,1)+38*7-1&gt;=$C89),1,""))</f>
        <v/>
      </c>
      <c r="AQ89" s="10">
        <f>IF(OR($C89="",$D89=""),"",IF(AND(DATE($B$1,1,1)+(39-1)*7&lt;=$D89,DATE($B$1,1,1)+39*7-1&gt;=$C89),1,""))</f>
        <v/>
      </c>
      <c r="AR89" s="10">
        <f>IF(OR($C89="",$D89=""),"",IF(AND(DATE($B$1,1,1)+(40-1)*7&lt;=$D89,DATE($B$1,1,1)+40*7-1&gt;=$C89),1,""))</f>
        <v/>
      </c>
      <c r="AS89" s="10">
        <f>IF(OR($C89="",$D89=""),"",IF(AND(DATE($B$1,1,1)+(41-1)*7&lt;=$D89,DATE($B$1,1,1)+41*7-1&gt;=$C89),1,""))</f>
        <v/>
      </c>
      <c r="AT89" s="10">
        <f>IF(OR($C89="",$D89=""),"",IF(AND(DATE($B$1,1,1)+(42-1)*7&lt;=$D89,DATE($B$1,1,1)+42*7-1&gt;=$C89),1,""))</f>
        <v/>
      </c>
      <c r="AU89" s="10">
        <f>IF(OR($C89="",$D89=""),"",IF(AND(DATE($B$1,1,1)+(43-1)*7&lt;=$D89,DATE($B$1,1,1)+43*7-1&gt;=$C89),1,""))</f>
        <v/>
      </c>
      <c r="AV89" s="10">
        <f>IF(OR($C89="",$D89=""),"",IF(AND(DATE($B$1,1,1)+(44-1)*7&lt;=$D89,DATE($B$1,1,1)+44*7-1&gt;=$C89),1,""))</f>
        <v/>
      </c>
      <c r="AW89" s="10">
        <f>IF(OR($C89="",$D89=""),"",IF(AND(DATE($B$1,1,1)+(45-1)*7&lt;=$D89,DATE($B$1,1,1)+45*7-1&gt;=$C89),1,""))</f>
        <v/>
      </c>
      <c r="AX89" s="10">
        <f>IF(OR($C89="",$D89=""),"",IF(AND(DATE($B$1,1,1)+(46-1)*7&lt;=$D89,DATE($B$1,1,1)+46*7-1&gt;=$C89),1,""))</f>
        <v/>
      </c>
      <c r="AY89" s="10">
        <f>IF(OR($C89="",$D89=""),"",IF(AND(DATE($B$1,1,1)+(47-1)*7&lt;=$D89,DATE($B$1,1,1)+47*7-1&gt;=$C89),1,""))</f>
        <v/>
      </c>
      <c r="AZ89" s="10">
        <f>IF(OR($C89="",$D89=""),"",IF(AND(DATE($B$1,1,1)+(48-1)*7&lt;=$D89,DATE($B$1,1,1)+48*7-1&gt;=$C89),1,""))</f>
        <v/>
      </c>
      <c r="BA89" s="10">
        <f>IF(OR($C89="",$D89=""),"",IF(AND(DATE($B$1,1,1)+(49-1)*7&lt;=$D89,DATE($B$1,1,1)+49*7-1&gt;=$C89),1,""))</f>
        <v/>
      </c>
      <c r="BB89" s="10">
        <f>IF(OR($C89="",$D89=""),"",IF(AND(DATE($B$1,1,1)+(50-1)*7&lt;=$D89,DATE($B$1,1,1)+50*7-1&gt;=$C89),1,""))</f>
        <v/>
      </c>
      <c r="BC89" s="10">
        <f>IF(OR($C89="",$D89=""),"",IF(AND(DATE($B$1,1,1)+(51-1)*7&lt;=$D89,DATE($B$1,1,1)+51*7-1&gt;=$C89),1,""))</f>
        <v/>
      </c>
      <c r="BD89" s="10">
        <f>IF(OR($C89="",$D89=""),"",IF(AND(DATE($B$1,1,1)+(52-1)*7&lt;=$D89,DATE($B$1,1,1)+52*7-1&gt;=$C89),1,""))</f>
        <v/>
      </c>
      <c r="BE89" s="10">
        <f>IF(OR($C89="",$D89=""),"",IF(AND(DATE($B$1,1,1)+(53-1)*7&lt;=$D89,DATE($B$1,1,1)+53*7-1&gt;=$C89),1,""))</f>
        <v/>
      </c>
      <c r="BF89" s="10">
        <f>IF(OR($C89="",$D89=""),"",IF(AND(DATE($B$1,1,1)+(54-1)*7&lt;=$D89,DATE($B$1,1,1)+54*7-1&gt;=$C89),1,""))</f>
        <v/>
      </c>
    </row>
    <row r="90">
      <c r="A90" s="6" t="n"/>
      <c r="B90" s="6" t="n"/>
      <c r="C90" s="11" t="n"/>
      <c r="D90" s="11" t="n"/>
      <c r="E90" s="10">
        <f>IF(OR($C90="",$D90=""),"",IF(AND(DATE($B$1,1,1)+(1-1)*7&lt;=$D90,DATE($B$1,1,1)+1*7-1&gt;=$C90),1,""))</f>
        <v/>
      </c>
      <c r="F90" s="10">
        <f>IF(OR($C90="",$D90=""),"",IF(AND(DATE($B$1,1,1)+(2-1)*7&lt;=$D90,DATE($B$1,1,1)+2*7-1&gt;=$C90),1,""))</f>
        <v/>
      </c>
      <c r="G90" s="10">
        <f>IF(OR($C90="",$D90=""),"",IF(AND(DATE($B$1,1,1)+(3-1)*7&lt;=$D90,DATE($B$1,1,1)+3*7-1&gt;=$C90),1,""))</f>
        <v/>
      </c>
      <c r="H90" s="10">
        <f>IF(OR($C90="",$D90=""),"",IF(AND(DATE($B$1,1,1)+(4-1)*7&lt;=$D90,DATE($B$1,1,1)+4*7-1&gt;=$C90),1,""))</f>
        <v/>
      </c>
      <c r="I90" s="10">
        <f>IF(OR($C90="",$D90=""),"",IF(AND(DATE($B$1,1,1)+(5-1)*7&lt;=$D90,DATE($B$1,1,1)+5*7-1&gt;=$C90),1,""))</f>
        <v/>
      </c>
      <c r="J90" s="10">
        <f>IF(OR($C90="",$D90=""),"",IF(AND(DATE($B$1,1,1)+(6-1)*7&lt;=$D90,DATE($B$1,1,1)+6*7-1&gt;=$C90),1,""))</f>
        <v/>
      </c>
      <c r="K90" s="10">
        <f>IF(OR($C90="",$D90=""),"",IF(AND(DATE($B$1,1,1)+(7-1)*7&lt;=$D90,DATE($B$1,1,1)+7*7-1&gt;=$C90),1,""))</f>
        <v/>
      </c>
      <c r="L90" s="10">
        <f>IF(OR($C90="",$D90=""),"",IF(AND(DATE($B$1,1,1)+(8-1)*7&lt;=$D90,DATE($B$1,1,1)+8*7-1&gt;=$C90),1,""))</f>
        <v/>
      </c>
      <c r="M90" s="10">
        <f>IF(OR($C90="",$D90=""),"",IF(AND(DATE($B$1,1,1)+(9-1)*7&lt;=$D90,DATE($B$1,1,1)+9*7-1&gt;=$C90),1,""))</f>
        <v/>
      </c>
      <c r="N90" s="10">
        <f>IF(OR($C90="",$D90=""),"",IF(AND(DATE($B$1,1,1)+(10-1)*7&lt;=$D90,DATE($B$1,1,1)+10*7-1&gt;=$C90),1,""))</f>
        <v/>
      </c>
      <c r="O90" s="10">
        <f>IF(OR($C90="",$D90=""),"",IF(AND(DATE($B$1,1,1)+(11-1)*7&lt;=$D90,DATE($B$1,1,1)+11*7-1&gt;=$C90),1,""))</f>
        <v/>
      </c>
      <c r="P90" s="10">
        <f>IF(OR($C90="",$D90=""),"",IF(AND(DATE($B$1,1,1)+(12-1)*7&lt;=$D90,DATE($B$1,1,1)+12*7-1&gt;=$C90),1,""))</f>
        <v/>
      </c>
      <c r="Q90" s="10">
        <f>IF(OR($C90="",$D90=""),"",IF(AND(DATE($B$1,1,1)+(13-1)*7&lt;=$D90,DATE($B$1,1,1)+13*7-1&gt;=$C90),1,""))</f>
        <v/>
      </c>
      <c r="R90" s="10">
        <f>IF(OR($C90="",$D90=""),"",IF(AND(DATE($B$1,1,1)+(14-1)*7&lt;=$D90,DATE($B$1,1,1)+14*7-1&gt;=$C90),1,""))</f>
        <v/>
      </c>
      <c r="S90" s="10">
        <f>IF(OR($C90="",$D90=""),"",IF(AND(DATE($B$1,1,1)+(15-1)*7&lt;=$D90,DATE($B$1,1,1)+15*7-1&gt;=$C90),1,""))</f>
        <v/>
      </c>
      <c r="T90" s="10">
        <f>IF(OR($C90="",$D90=""),"",IF(AND(DATE($B$1,1,1)+(16-1)*7&lt;=$D90,DATE($B$1,1,1)+16*7-1&gt;=$C90),1,""))</f>
        <v/>
      </c>
      <c r="U90" s="10">
        <f>IF(OR($C90="",$D90=""),"",IF(AND(DATE($B$1,1,1)+(17-1)*7&lt;=$D90,DATE($B$1,1,1)+17*7-1&gt;=$C90),1,""))</f>
        <v/>
      </c>
      <c r="V90" s="10">
        <f>IF(OR($C90="",$D90=""),"",IF(AND(DATE($B$1,1,1)+(18-1)*7&lt;=$D90,DATE($B$1,1,1)+18*7-1&gt;=$C90),1,""))</f>
        <v/>
      </c>
      <c r="W90" s="10">
        <f>IF(OR($C90="",$D90=""),"",IF(AND(DATE($B$1,1,1)+(19-1)*7&lt;=$D90,DATE($B$1,1,1)+19*7-1&gt;=$C90),1,""))</f>
        <v/>
      </c>
      <c r="X90" s="10">
        <f>IF(OR($C90="",$D90=""),"",IF(AND(DATE($B$1,1,1)+(20-1)*7&lt;=$D90,DATE($B$1,1,1)+20*7-1&gt;=$C90),1,""))</f>
        <v/>
      </c>
      <c r="Y90" s="10">
        <f>IF(OR($C90="",$D90=""),"",IF(AND(DATE($B$1,1,1)+(21-1)*7&lt;=$D90,DATE($B$1,1,1)+21*7-1&gt;=$C90),1,""))</f>
        <v/>
      </c>
      <c r="Z90" s="10">
        <f>IF(OR($C90="",$D90=""),"",IF(AND(DATE($B$1,1,1)+(22-1)*7&lt;=$D90,DATE($B$1,1,1)+22*7-1&gt;=$C90),1,""))</f>
        <v/>
      </c>
      <c r="AA90" s="10">
        <f>IF(OR($C90="",$D90=""),"",IF(AND(DATE($B$1,1,1)+(23-1)*7&lt;=$D90,DATE($B$1,1,1)+23*7-1&gt;=$C90),1,""))</f>
        <v/>
      </c>
      <c r="AB90" s="10">
        <f>IF(OR($C90="",$D90=""),"",IF(AND(DATE($B$1,1,1)+(24-1)*7&lt;=$D90,DATE($B$1,1,1)+24*7-1&gt;=$C90),1,""))</f>
        <v/>
      </c>
      <c r="AC90" s="10">
        <f>IF(OR($C90="",$D90=""),"",IF(AND(DATE($B$1,1,1)+(25-1)*7&lt;=$D90,DATE($B$1,1,1)+25*7-1&gt;=$C90),1,""))</f>
        <v/>
      </c>
      <c r="AD90" s="10">
        <f>IF(OR($C90="",$D90=""),"",IF(AND(DATE($B$1,1,1)+(26-1)*7&lt;=$D90,DATE($B$1,1,1)+26*7-1&gt;=$C90),1,""))</f>
        <v/>
      </c>
      <c r="AE90" s="10">
        <f>IF(OR($C90="",$D90=""),"",IF(AND(DATE($B$1,1,1)+(27-1)*7&lt;=$D90,DATE($B$1,1,1)+27*7-1&gt;=$C90),1,""))</f>
        <v/>
      </c>
      <c r="AF90" s="10">
        <f>IF(OR($C90="",$D90=""),"",IF(AND(DATE($B$1,1,1)+(28-1)*7&lt;=$D90,DATE($B$1,1,1)+28*7-1&gt;=$C90),1,""))</f>
        <v/>
      </c>
      <c r="AG90" s="10">
        <f>IF(OR($C90="",$D90=""),"",IF(AND(DATE($B$1,1,1)+(29-1)*7&lt;=$D90,DATE($B$1,1,1)+29*7-1&gt;=$C90),1,""))</f>
        <v/>
      </c>
      <c r="AH90" s="10">
        <f>IF(OR($C90="",$D90=""),"",IF(AND(DATE($B$1,1,1)+(30-1)*7&lt;=$D90,DATE($B$1,1,1)+30*7-1&gt;=$C90),1,""))</f>
        <v/>
      </c>
      <c r="AI90" s="10">
        <f>IF(OR($C90="",$D90=""),"",IF(AND(DATE($B$1,1,1)+(31-1)*7&lt;=$D90,DATE($B$1,1,1)+31*7-1&gt;=$C90),1,""))</f>
        <v/>
      </c>
      <c r="AJ90" s="10">
        <f>IF(OR($C90="",$D90=""),"",IF(AND(DATE($B$1,1,1)+(32-1)*7&lt;=$D90,DATE($B$1,1,1)+32*7-1&gt;=$C90),1,""))</f>
        <v/>
      </c>
      <c r="AK90" s="10">
        <f>IF(OR($C90="",$D90=""),"",IF(AND(DATE($B$1,1,1)+(33-1)*7&lt;=$D90,DATE($B$1,1,1)+33*7-1&gt;=$C90),1,""))</f>
        <v/>
      </c>
      <c r="AL90" s="10">
        <f>IF(OR($C90="",$D90=""),"",IF(AND(DATE($B$1,1,1)+(34-1)*7&lt;=$D90,DATE($B$1,1,1)+34*7-1&gt;=$C90),1,""))</f>
        <v/>
      </c>
      <c r="AM90" s="10">
        <f>IF(OR($C90="",$D90=""),"",IF(AND(DATE($B$1,1,1)+(35-1)*7&lt;=$D90,DATE($B$1,1,1)+35*7-1&gt;=$C90),1,""))</f>
        <v/>
      </c>
      <c r="AN90" s="10">
        <f>IF(OR($C90="",$D90=""),"",IF(AND(DATE($B$1,1,1)+(36-1)*7&lt;=$D90,DATE($B$1,1,1)+36*7-1&gt;=$C90),1,""))</f>
        <v/>
      </c>
      <c r="AO90" s="10">
        <f>IF(OR($C90="",$D90=""),"",IF(AND(DATE($B$1,1,1)+(37-1)*7&lt;=$D90,DATE($B$1,1,1)+37*7-1&gt;=$C90),1,""))</f>
        <v/>
      </c>
      <c r="AP90" s="10">
        <f>IF(OR($C90="",$D90=""),"",IF(AND(DATE($B$1,1,1)+(38-1)*7&lt;=$D90,DATE($B$1,1,1)+38*7-1&gt;=$C90),1,""))</f>
        <v/>
      </c>
      <c r="AQ90" s="10">
        <f>IF(OR($C90="",$D90=""),"",IF(AND(DATE($B$1,1,1)+(39-1)*7&lt;=$D90,DATE($B$1,1,1)+39*7-1&gt;=$C90),1,""))</f>
        <v/>
      </c>
      <c r="AR90" s="10">
        <f>IF(OR($C90="",$D90=""),"",IF(AND(DATE($B$1,1,1)+(40-1)*7&lt;=$D90,DATE($B$1,1,1)+40*7-1&gt;=$C90),1,""))</f>
        <v/>
      </c>
      <c r="AS90" s="10">
        <f>IF(OR($C90="",$D90=""),"",IF(AND(DATE($B$1,1,1)+(41-1)*7&lt;=$D90,DATE($B$1,1,1)+41*7-1&gt;=$C90),1,""))</f>
        <v/>
      </c>
      <c r="AT90" s="10">
        <f>IF(OR($C90="",$D90=""),"",IF(AND(DATE($B$1,1,1)+(42-1)*7&lt;=$D90,DATE($B$1,1,1)+42*7-1&gt;=$C90),1,""))</f>
        <v/>
      </c>
      <c r="AU90" s="10">
        <f>IF(OR($C90="",$D90=""),"",IF(AND(DATE($B$1,1,1)+(43-1)*7&lt;=$D90,DATE($B$1,1,1)+43*7-1&gt;=$C90),1,""))</f>
        <v/>
      </c>
      <c r="AV90" s="10">
        <f>IF(OR($C90="",$D90=""),"",IF(AND(DATE($B$1,1,1)+(44-1)*7&lt;=$D90,DATE($B$1,1,1)+44*7-1&gt;=$C90),1,""))</f>
        <v/>
      </c>
      <c r="AW90" s="10">
        <f>IF(OR($C90="",$D90=""),"",IF(AND(DATE($B$1,1,1)+(45-1)*7&lt;=$D90,DATE($B$1,1,1)+45*7-1&gt;=$C90),1,""))</f>
        <v/>
      </c>
      <c r="AX90" s="10">
        <f>IF(OR($C90="",$D90=""),"",IF(AND(DATE($B$1,1,1)+(46-1)*7&lt;=$D90,DATE($B$1,1,1)+46*7-1&gt;=$C90),1,""))</f>
        <v/>
      </c>
      <c r="AY90" s="10">
        <f>IF(OR($C90="",$D90=""),"",IF(AND(DATE($B$1,1,1)+(47-1)*7&lt;=$D90,DATE($B$1,1,1)+47*7-1&gt;=$C90),1,""))</f>
        <v/>
      </c>
      <c r="AZ90" s="10">
        <f>IF(OR($C90="",$D90=""),"",IF(AND(DATE($B$1,1,1)+(48-1)*7&lt;=$D90,DATE($B$1,1,1)+48*7-1&gt;=$C90),1,""))</f>
        <v/>
      </c>
      <c r="BA90" s="10">
        <f>IF(OR($C90="",$D90=""),"",IF(AND(DATE($B$1,1,1)+(49-1)*7&lt;=$D90,DATE($B$1,1,1)+49*7-1&gt;=$C90),1,""))</f>
        <v/>
      </c>
      <c r="BB90" s="10">
        <f>IF(OR($C90="",$D90=""),"",IF(AND(DATE($B$1,1,1)+(50-1)*7&lt;=$D90,DATE($B$1,1,1)+50*7-1&gt;=$C90),1,""))</f>
        <v/>
      </c>
      <c r="BC90" s="10">
        <f>IF(OR($C90="",$D90=""),"",IF(AND(DATE($B$1,1,1)+(51-1)*7&lt;=$D90,DATE($B$1,1,1)+51*7-1&gt;=$C90),1,""))</f>
        <v/>
      </c>
      <c r="BD90" s="10">
        <f>IF(OR($C90="",$D90=""),"",IF(AND(DATE($B$1,1,1)+(52-1)*7&lt;=$D90,DATE($B$1,1,1)+52*7-1&gt;=$C90),1,""))</f>
        <v/>
      </c>
      <c r="BE90" s="10">
        <f>IF(OR($C90="",$D90=""),"",IF(AND(DATE($B$1,1,1)+(53-1)*7&lt;=$D90,DATE($B$1,1,1)+53*7-1&gt;=$C90),1,""))</f>
        <v/>
      </c>
      <c r="BF90" s="10">
        <f>IF(OR($C90="",$D90=""),"",IF(AND(DATE($B$1,1,1)+(54-1)*7&lt;=$D90,DATE($B$1,1,1)+54*7-1&gt;=$C90),1,""))</f>
        <v/>
      </c>
    </row>
    <row r="91">
      <c r="A91" s="6" t="n"/>
      <c r="B91" s="6" t="n"/>
      <c r="C91" s="11" t="n"/>
      <c r="D91" s="11" t="n"/>
      <c r="E91" s="10">
        <f>IF(OR($C91="",$D91=""),"",IF(AND(DATE($B$1,1,1)+(1-1)*7&lt;=$D91,DATE($B$1,1,1)+1*7-1&gt;=$C91),1,""))</f>
        <v/>
      </c>
      <c r="F91" s="10">
        <f>IF(OR($C91="",$D91=""),"",IF(AND(DATE($B$1,1,1)+(2-1)*7&lt;=$D91,DATE($B$1,1,1)+2*7-1&gt;=$C91),1,""))</f>
        <v/>
      </c>
      <c r="G91" s="10">
        <f>IF(OR($C91="",$D91=""),"",IF(AND(DATE($B$1,1,1)+(3-1)*7&lt;=$D91,DATE($B$1,1,1)+3*7-1&gt;=$C91),1,""))</f>
        <v/>
      </c>
      <c r="H91" s="10">
        <f>IF(OR($C91="",$D91=""),"",IF(AND(DATE($B$1,1,1)+(4-1)*7&lt;=$D91,DATE($B$1,1,1)+4*7-1&gt;=$C91),1,""))</f>
        <v/>
      </c>
      <c r="I91" s="10">
        <f>IF(OR($C91="",$D91=""),"",IF(AND(DATE($B$1,1,1)+(5-1)*7&lt;=$D91,DATE($B$1,1,1)+5*7-1&gt;=$C91),1,""))</f>
        <v/>
      </c>
      <c r="J91" s="10">
        <f>IF(OR($C91="",$D91=""),"",IF(AND(DATE($B$1,1,1)+(6-1)*7&lt;=$D91,DATE($B$1,1,1)+6*7-1&gt;=$C91),1,""))</f>
        <v/>
      </c>
      <c r="K91" s="10">
        <f>IF(OR($C91="",$D91=""),"",IF(AND(DATE($B$1,1,1)+(7-1)*7&lt;=$D91,DATE($B$1,1,1)+7*7-1&gt;=$C91),1,""))</f>
        <v/>
      </c>
      <c r="L91" s="10">
        <f>IF(OR($C91="",$D91=""),"",IF(AND(DATE($B$1,1,1)+(8-1)*7&lt;=$D91,DATE($B$1,1,1)+8*7-1&gt;=$C91),1,""))</f>
        <v/>
      </c>
      <c r="M91" s="10">
        <f>IF(OR($C91="",$D91=""),"",IF(AND(DATE($B$1,1,1)+(9-1)*7&lt;=$D91,DATE($B$1,1,1)+9*7-1&gt;=$C91),1,""))</f>
        <v/>
      </c>
      <c r="N91" s="10">
        <f>IF(OR($C91="",$D91=""),"",IF(AND(DATE($B$1,1,1)+(10-1)*7&lt;=$D91,DATE($B$1,1,1)+10*7-1&gt;=$C91),1,""))</f>
        <v/>
      </c>
      <c r="O91" s="10">
        <f>IF(OR($C91="",$D91=""),"",IF(AND(DATE($B$1,1,1)+(11-1)*7&lt;=$D91,DATE($B$1,1,1)+11*7-1&gt;=$C91),1,""))</f>
        <v/>
      </c>
      <c r="P91" s="10">
        <f>IF(OR($C91="",$D91=""),"",IF(AND(DATE($B$1,1,1)+(12-1)*7&lt;=$D91,DATE($B$1,1,1)+12*7-1&gt;=$C91),1,""))</f>
        <v/>
      </c>
      <c r="Q91" s="10">
        <f>IF(OR($C91="",$D91=""),"",IF(AND(DATE($B$1,1,1)+(13-1)*7&lt;=$D91,DATE($B$1,1,1)+13*7-1&gt;=$C91),1,""))</f>
        <v/>
      </c>
      <c r="R91" s="10">
        <f>IF(OR($C91="",$D91=""),"",IF(AND(DATE($B$1,1,1)+(14-1)*7&lt;=$D91,DATE($B$1,1,1)+14*7-1&gt;=$C91),1,""))</f>
        <v/>
      </c>
      <c r="S91" s="10">
        <f>IF(OR($C91="",$D91=""),"",IF(AND(DATE($B$1,1,1)+(15-1)*7&lt;=$D91,DATE($B$1,1,1)+15*7-1&gt;=$C91),1,""))</f>
        <v/>
      </c>
      <c r="T91" s="10">
        <f>IF(OR($C91="",$D91=""),"",IF(AND(DATE($B$1,1,1)+(16-1)*7&lt;=$D91,DATE($B$1,1,1)+16*7-1&gt;=$C91),1,""))</f>
        <v/>
      </c>
      <c r="U91" s="10">
        <f>IF(OR($C91="",$D91=""),"",IF(AND(DATE($B$1,1,1)+(17-1)*7&lt;=$D91,DATE($B$1,1,1)+17*7-1&gt;=$C91),1,""))</f>
        <v/>
      </c>
      <c r="V91" s="10">
        <f>IF(OR($C91="",$D91=""),"",IF(AND(DATE($B$1,1,1)+(18-1)*7&lt;=$D91,DATE($B$1,1,1)+18*7-1&gt;=$C91),1,""))</f>
        <v/>
      </c>
      <c r="W91" s="10">
        <f>IF(OR($C91="",$D91=""),"",IF(AND(DATE($B$1,1,1)+(19-1)*7&lt;=$D91,DATE($B$1,1,1)+19*7-1&gt;=$C91),1,""))</f>
        <v/>
      </c>
      <c r="X91" s="10">
        <f>IF(OR($C91="",$D91=""),"",IF(AND(DATE($B$1,1,1)+(20-1)*7&lt;=$D91,DATE($B$1,1,1)+20*7-1&gt;=$C91),1,""))</f>
        <v/>
      </c>
      <c r="Y91" s="10">
        <f>IF(OR($C91="",$D91=""),"",IF(AND(DATE($B$1,1,1)+(21-1)*7&lt;=$D91,DATE($B$1,1,1)+21*7-1&gt;=$C91),1,""))</f>
        <v/>
      </c>
      <c r="Z91" s="10">
        <f>IF(OR($C91="",$D91=""),"",IF(AND(DATE($B$1,1,1)+(22-1)*7&lt;=$D91,DATE($B$1,1,1)+22*7-1&gt;=$C91),1,""))</f>
        <v/>
      </c>
      <c r="AA91" s="10">
        <f>IF(OR($C91="",$D91=""),"",IF(AND(DATE($B$1,1,1)+(23-1)*7&lt;=$D91,DATE($B$1,1,1)+23*7-1&gt;=$C91),1,""))</f>
        <v/>
      </c>
      <c r="AB91" s="10">
        <f>IF(OR($C91="",$D91=""),"",IF(AND(DATE($B$1,1,1)+(24-1)*7&lt;=$D91,DATE($B$1,1,1)+24*7-1&gt;=$C91),1,""))</f>
        <v/>
      </c>
      <c r="AC91" s="10">
        <f>IF(OR($C91="",$D91=""),"",IF(AND(DATE($B$1,1,1)+(25-1)*7&lt;=$D91,DATE($B$1,1,1)+25*7-1&gt;=$C91),1,""))</f>
        <v/>
      </c>
      <c r="AD91" s="10">
        <f>IF(OR($C91="",$D91=""),"",IF(AND(DATE($B$1,1,1)+(26-1)*7&lt;=$D91,DATE($B$1,1,1)+26*7-1&gt;=$C91),1,""))</f>
        <v/>
      </c>
      <c r="AE91" s="10">
        <f>IF(OR($C91="",$D91=""),"",IF(AND(DATE($B$1,1,1)+(27-1)*7&lt;=$D91,DATE($B$1,1,1)+27*7-1&gt;=$C91),1,""))</f>
        <v/>
      </c>
      <c r="AF91" s="10">
        <f>IF(OR($C91="",$D91=""),"",IF(AND(DATE($B$1,1,1)+(28-1)*7&lt;=$D91,DATE($B$1,1,1)+28*7-1&gt;=$C91),1,""))</f>
        <v/>
      </c>
      <c r="AG91" s="10">
        <f>IF(OR($C91="",$D91=""),"",IF(AND(DATE($B$1,1,1)+(29-1)*7&lt;=$D91,DATE($B$1,1,1)+29*7-1&gt;=$C91),1,""))</f>
        <v/>
      </c>
      <c r="AH91" s="10">
        <f>IF(OR($C91="",$D91=""),"",IF(AND(DATE($B$1,1,1)+(30-1)*7&lt;=$D91,DATE($B$1,1,1)+30*7-1&gt;=$C91),1,""))</f>
        <v/>
      </c>
      <c r="AI91" s="10">
        <f>IF(OR($C91="",$D91=""),"",IF(AND(DATE($B$1,1,1)+(31-1)*7&lt;=$D91,DATE($B$1,1,1)+31*7-1&gt;=$C91),1,""))</f>
        <v/>
      </c>
      <c r="AJ91" s="10">
        <f>IF(OR($C91="",$D91=""),"",IF(AND(DATE($B$1,1,1)+(32-1)*7&lt;=$D91,DATE($B$1,1,1)+32*7-1&gt;=$C91),1,""))</f>
        <v/>
      </c>
      <c r="AK91" s="10">
        <f>IF(OR($C91="",$D91=""),"",IF(AND(DATE($B$1,1,1)+(33-1)*7&lt;=$D91,DATE($B$1,1,1)+33*7-1&gt;=$C91),1,""))</f>
        <v/>
      </c>
      <c r="AL91" s="10">
        <f>IF(OR($C91="",$D91=""),"",IF(AND(DATE($B$1,1,1)+(34-1)*7&lt;=$D91,DATE($B$1,1,1)+34*7-1&gt;=$C91),1,""))</f>
        <v/>
      </c>
      <c r="AM91" s="10">
        <f>IF(OR($C91="",$D91=""),"",IF(AND(DATE($B$1,1,1)+(35-1)*7&lt;=$D91,DATE($B$1,1,1)+35*7-1&gt;=$C91),1,""))</f>
        <v/>
      </c>
      <c r="AN91" s="10">
        <f>IF(OR($C91="",$D91=""),"",IF(AND(DATE($B$1,1,1)+(36-1)*7&lt;=$D91,DATE($B$1,1,1)+36*7-1&gt;=$C91),1,""))</f>
        <v/>
      </c>
      <c r="AO91" s="10">
        <f>IF(OR($C91="",$D91=""),"",IF(AND(DATE($B$1,1,1)+(37-1)*7&lt;=$D91,DATE($B$1,1,1)+37*7-1&gt;=$C91),1,""))</f>
        <v/>
      </c>
      <c r="AP91" s="10">
        <f>IF(OR($C91="",$D91=""),"",IF(AND(DATE($B$1,1,1)+(38-1)*7&lt;=$D91,DATE($B$1,1,1)+38*7-1&gt;=$C91),1,""))</f>
        <v/>
      </c>
      <c r="AQ91" s="10">
        <f>IF(OR($C91="",$D91=""),"",IF(AND(DATE($B$1,1,1)+(39-1)*7&lt;=$D91,DATE($B$1,1,1)+39*7-1&gt;=$C91),1,""))</f>
        <v/>
      </c>
      <c r="AR91" s="10">
        <f>IF(OR($C91="",$D91=""),"",IF(AND(DATE($B$1,1,1)+(40-1)*7&lt;=$D91,DATE($B$1,1,1)+40*7-1&gt;=$C91),1,""))</f>
        <v/>
      </c>
      <c r="AS91" s="10">
        <f>IF(OR($C91="",$D91=""),"",IF(AND(DATE($B$1,1,1)+(41-1)*7&lt;=$D91,DATE($B$1,1,1)+41*7-1&gt;=$C91),1,""))</f>
        <v/>
      </c>
      <c r="AT91" s="10">
        <f>IF(OR($C91="",$D91=""),"",IF(AND(DATE($B$1,1,1)+(42-1)*7&lt;=$D91,DATE($B$1,1,1)+42*7-1&gt;=$C91),1,""))</f>
        <v/>
      </c>
      <c r="AU91" s="10">
        <f>IF(OR($C91="",$D91=""),"",IF(AND(DATE($B$1,1,1)+(43-1)*7&lt;=$D91,DATE($B$1,1,1)+43*7-1&gt;=$C91),1,""))</f>
        <v/>
      </c>
      <c r="AV91" s="10">
        <f>IF(OR($C91="",$D91=""),"",IF(AND(DATE($B$1,1,1)+(44-1)*7&lt;=$D91,DATE($B$1,1,1)+44*7-1&gt;=$C91),1,""))</f>
        <v/>
      </c>
      <c r="AW91" s="10">
        <f>IF(OR($C91="",$D91=""),"",IF(AND(DATE($B$1,1,1)+(45-1)*7&lt;=$D91,DATE($B$1,1,1)+45*7-1&gt;=$C91),1,""))</f>
        <v/>
      </c>
      <c r="AX91" s="10">
        <f>IF(OR($C91="",$D91=""),"",IF(AND(DATE($B$1,1,1)+(46-1)*7&lt;=$D91,DATE($B$1,1,1)+46*7-1&gt;=$C91),1,""))</f>
        <v/>
      </c>
      <c r="AY91" s="10">
        <f>IF(OR($C91="",$D91=""),"",IF(AND(DATE($B$1,1,1)+(47-1)*7&lt;=$D91,DATE($B$1,1,1)+47*7-1&gt;=$C91),1,""))</f>
        <v/>
      </c>
      <c r="AZ91" s="10">
        <f>IF(OR($C91="",$D91=""),"",IF(AND(DATE($B$1,1,1)+(48-1)*7&lt;=$D91,DATE($B$1,1,1)+48*7-1&gt;=$C91),1,""))</f>
        <v/>
      </c>
      <c r="BA91" s="10">
        <f>IF(OR($C91="",$D91=""),"",IF(AND(DATE($B$1,1,1)+(49-1)*7&lt;=$D91,DATE($B$1,1,1)+49*7-1&gt;=$C91),1,""))</f>
        <v/>
      </c>
      <c r="BB91" s="10">
        <f>IF(OR($C91="",$D91=""),"",IF(AND(DATE($B$1,1,1)+(50-1)*7&lt;=$D91,DATE($B$1,1,1)+50*7-1&gt;=$C91),1,""))</f>
        <v/>
      </c>
      <c r="BC91" s="10">
        <f>IF(OR($C91="",$D91=""),"",IF(AND(DATE($B$1,1,1)+(51-1)*7&lt;=$D91,DATE($B$1,1,1)+51*7-1&gt;=$C91),1,""))</f>
        <v/>
      </c>
      <c r="BD91" s="10">
        <f>IF(OR($C91="",$D91=""),"",IF(AND(DATE($B$1,1,1)+(52-1)*7&lt;=$D91,DATE($B$1,1,1)+52*7-1&gt;=$C91),1,""))</f>
        <v/>
      </c>
      <c r="BE91" s="10">
        <f>IF(OR($C91="",$D91=""),"",IF(AND(DATE($B$1,1,1)+(53-1)*7&lt;=$D91,DATE($B$1,1,1)+53*7-1&gt;=$C91),1,""))</f>
        <v/>
      </c>
      <c r="BF91" s="10">
        <f>IF(OR($C91="",$D91=""),"",IF(AND(DATE($B$1,1,1)+(54-1)*7&lt;=$D91,DATE($B$1,1,1)+54*7-1&gt;=$C91),1,""))</f>
        <v/>
      </c>
    </row>
    <row r="92">
      <c r="A92" s="6" t="n"/>
      <c r="B92" s="6" t="n"/>
      <c r="C92" s="11" t="n"/>
      <c r="D92" s="11" t="n"/>
      <c r="E92" s="10">
        <f>IF(OR($C92="",$D92=""),"",IF(AND(DATE($B$1,1,1)+(1-1)*7&lt;=$D92,DATE($B$1,1,1)+1*7-1&gt;=$C92),1,""))</f>
        <v/>
      </c>
      <c r="F92" s="10">
        <f>IF(OR($C92="",$D92=""),"",IF(AND(DATE($B$1,1,1)+(2-1)*7&lt;=$D92,DATE($B$1,1,1)+2*7-1&gt;=$C92),1,""))</f>
        <v/>
      </c>
      <c r="G92" s="10">
        <f>IF(OR($C92="",$D92=""),"",IF(AND(DATE($B$1,1,1)+(3-1)*7&lt;=$D92,DATE($B$1,1,1)+3*7-1&gt;=$C92),1,""))</f>
        <v/>
      </c>
      <c r="H92" s="10">
        <f>IF(OR($C92="",$D92=""),"",IF(AND(DATE($B$1,1,1)+(4-1)*7&lt;=$D92,DATE($B$1,1,1)+4*7-1&gt;=$C92),1,""))</f>
        <v/>
      </c>
      <c r="I92" s="10">
        <f>IF(OR($C92="",$D92=""),"",IF(AND(DATE($B$1,1,1)+(5-1)*7&lt;=$D92,DATE($B$1,1,1)+5*7-1&gt;=$C92),1,""))</f>
        <v/>
      </c>
      <c r="J92" s="10">
        <f>IF(OR($C92="",$D92=""),"",IF(AND(DATE($B$1,1,1)+(6-1)*7&lt;=$D92,DATE($B$1,1,1)+6*7-1&gt;=$C92),1,""))</f>
        <v/>
      </c>
      <c r="K92" s="10">
        <f>IF(OR($C92="",$D92=""),"",IF(AND(DATE($B$1,1,1)+(7-1)*7&lt;=$D92,DATE($B$1,1,1)+7*7-1&gt;=$C92),1,""))</f>
        <v/>
      </c>
      <c r="L92" s="10">
        <f>IF(OR($C92="",$D92=""),"",IF(AND(DATE($B$1,1,1)+(8-1)*7&lt;=$D92,DATE($B$1,1,1)+8*7-1&gt;=$C92),1,""))</f>
        <v/>
      </c>
      <c r="M92" s="10">
        <f>IF(OR($C92="",$D92=""),"",IF(AND(DATE($B$1,1,1)+(9-1)*7&lt;=$D92,DATE($B$1,1,1)+9*7-1&gt;=$C92),1,""))</f>
        <v/>
      </c>
      <c r="N92" s="10">
        <f>IF(OR($C92="",$D92=""),"",IF(AND(DATE($B$1,1,1)+(10-1)*7&lt;=$D92,DATE($B$1,1,1)+10*7-1&gt;=$C92),1,""))</f>
        <v/>
      </c>
      <c r="O92" s="10">
        <f>IF(OR($C92="",$D92=""),"",IF(AND(DATE($B$1,1,1)+(11-1)*7&lt;=$D92,DATE($B$1,1,1)+11*7-1&gt;=$C92),1,""))</f>
        <v/>
      </c>
      <c r="P92" s="10">
        <f>IF(OR($C92="",$D92=""),"",IF(AND(DATE($B$1,1,1)+(12-1)*7&lt;=$D92,DATE($B$1,1,1)+12*7-1&gt;=$C92),1,""))</f>
        <v/>
      </c>
      <c r="Q92" s="10">
        <f>IF(OR($C92="",$D92=""),"",IF(AND(DATE($B$1,1,1)+(13-1)*7&lt;=$D92,DATE($B$1,1,1)+13*7-1&gt;=$C92),1,""))</f>
        <v/>
      </c>
      <c r="R92" s="10">
        <f>IF(OR($C92="",$D92=""),"",IF(AND(DATE($B$1,1,1)+(14-1)*7&lt;=$D92,DATE($B$1,1,1)+14*7-1&gt;=$C92),1,""))</f>
        <v/>
      </c>
      <c r="S92" s="10">
        <f>IF(OR($C92="",$D92=""),"",IF(AND(DATE($B$1,1,1)+(15-1)*7&lt;=$D92,DATE($B$1,1,1)+15*7-1&gt;=$C92),1,""))</f>
        <v/>
      </c>
      <c r="T92" s="10">
        <f>IF(OR($C92="",$D92=""),"",IF(AND(DATE($B$1,1,1)+(16-1)*7&lt;=$D92,DATE($B$1,1,1)+16*7-1&gt;=$C92),1,""))</f>
        <v/>
      </c>
      <c r="U92" s="10">
        <f>IF(OR($C92="",$D92=""),"",IF(AND(DATE($B$1,1,1)+(17-1)*7&lt;=$D92,DATE($B$1,1,1)+17*7-1&gt;=$C92),1,""))</f>
        <v/>
      </c>
      <c r="V92" s="10">
        <f>IF(OR($C92="",$D92=""),"",IF(AND(DATE($B$1,1,1)+(18-1)*7&lt;=$D92,DATE($B$1,1,1)+18*7-1&gt;=$C92),1,""))</f>
        <v/>
      </c>
      <c r="W92" s="10">
        <f>IF(OR($C92="",$D92=""),"",IF(AND(DATE($B$1,1,1)+(19-1)*7&lt;=$D92,DATE($B$1,1,1)+19*7-1&gt;=$C92),1,""))</f>
        <v/>
      </c>
      <c r="X92" s="10">
        <f>IF(OR($C92="",$D92=""),"",IF(AND(DATE($B$1,1,1)+(20-1)*7&lt;=$D92,DATE($B$1,1,1)+20*7-1&gt;=$C92),1,""))</f>
        <v/>
      </c>
      <c r="Y92" s="10">
        <f>IF(OR($C92="",$D92=""),"",IF(AND(DATE($B$1,1,1)+(21-1)*7&lt;=$D92,DATE($B$1,1,1)+21*7-1&gt;=$C92),1,""))</f>
        <v/>
      </c>
      <c r="Z92" s="10">
        <f>IF(OR($C92="",$D92=""),"",IF(AND(DATE($B$1,1,1)+(22-1)*7&lt;=$D92,DATE($B$1,1,1)+22*7-1&gt;=$C92),1,""))</f>
        <v/>
      </c>
      <c r="AA92" s="10">
        <f>IF(OR($C92="",$D92=""),"",IF(AND(DATE($B$1,1,1)+(23-1)*7&lt;=$D92,DATE($B$1,1,1)+23*7-1&gt;=$C92),1,""))</f>
        <v/>
      </c>
      <c r="AB92" s="10">
        <f>IF(OR($C92="",$D92=""),"",IF(AND(DATE($B$1,1,1)+(24-1)*7&lt;=$D92,DATE($B$1,1,1)+24*7-1&gt;=$C92),1,""))</f>
        <v/>
      </c>
      <c r="AC92" s="10">
        <f>IF(OR($C92="",$D92=""),"",IF(AND(DATE($B$1,1,1)+(25-1)*7&lt;=$D92,DATE($B$1,1,1)+25*7-1&gt;=$C92),1,""))</f>
        <v/>
      </c>
      <c r="AD92" s="10">
        <f>IF(OR($C92="",$D92=""),"",IF(AND(DATE($B$1,1,1)+(26-1)*7&lt;=$D92,DATE($B$1,1,1)+26*7-1&gt;=$C92),1,""))</f>
        <v/>
      </c>
      <c r="AE92" s="10">
        <f>IF(OR($C92="",$D92=""),"",IF(AND(DATE($B$1,1,1)+(27-1)*7&lt;=$D92,DATE($B$1,1,1)+27*7-1&gt;=$C92),1,""))</f>
        <v/>
      </c>
      <c r="AF92" s="10">
        <f>IF(OR($C92="",$D92=""),"",IF(AND(DATE($B$1,1,1)+(28-1)*7&lt;=$D92,DATE($B$1,1,1)+28*7-1&gt;=$C92),1,""))</f>
        <v/>
      </c>
      <c r="AG92" s="10">
        <f>IF(OR($C92="",$D92=""),"",IF(AND(DATE($B$1,1,1)+(29-1)*7&lt;=$D92,DATE($B$1,1,1)+29*7-1&gt;=$C92),1,""))</f>
        <v/>
      </c>
      <c r="AH92" s="10">
        <f>IF(OR($C92="",$D92=""),"",IF(AND(DATE($B$1,1,1)+(30-1)*7&lt;=$D92,DATE($B$1,1,1)+30*7-1&gt;=$C92),1,""))</f>
        <v/>
      </c>
      <c r="AI92" s="10">
        <f>IF(OR($C92="",$D92=""),"",IF(AND(DATE($B$1,1,1)+(31-1)*7&lt;=$D92,DATE($B$1,1,1)+31*7-1&gt;=$C92),1,""))</f>
        <v/>
      </c>
      <c r="AJ92" s="10">
        <f>IF(OR($C92="",$D92=""),"",IF(AND(DATE($B$1,1,1)+(32-1)*7&lt;=$D92,DATE($B$1,1,1)+32*7-1&gt;=$C92),1,""))</f>
        <v/>
      </c>
      <c r="AK92" s="10">
        <f>IF(OR($C92="",$D92=""),"",IF(AND(DATE($B$1,1,1)+(33-1)*7&lt;=$D92,DATE($B$1,1,1)+33*7-1&gt;=$C92),1,""))</f>
        <v/>
      </c>
      <c r="AL92" s="10">
        <f>IF(OR($C92="",$D92=""),"",IF(AND(DATE($B$1,1,1)+(34-1)*7&lt;=$D92,DATE($B$1,1,1)+34*7-1&gt;=$C92),1,""))</f>
        <v/>
      </c>
      <c r="AM92" s="10">
        <f>IF(OR($C92="",$D92=""),"",IF(AND(DATE($B$1,1,1)+(35-1)*7&lt;=$D92,DATE($B$1,1,1)+35*7-1&gt;=$C92),1,""))</f>
        <v/>
      </c>
      <c r="AN92" s="10">
        <f>IF(OR($C92="",$D92=""),"",IF(AND(DATE($B$1,1,1)+(36-1)*7&lt;=$D92,DATE($B$1,1,1)+36*7-1&gt;=$C92),1,""))</f>
        <v/>
      </c>
      <c r="AO92" s="10">
        <f>IF(OR($C92="",$D92=""),"",IF(AND(DATE($B$1,1,1)+(37-1)*7&lt;=$D92,DATE($B$1,1,1)+37*7-1&gt;=$C92),1,""))</f>
        <v/>
      </c>
      <c r="AP92" s="10">
        <f>IF(OR($C92="",$D92=""),"",IF(AND(DATE($B$1,1,1)+(38-1)*7&lt;=$D92,DATE($B$1,1,1)+38*7-1&gt;=$C92),1,""))</f>
        <v/>
      </c>
      <c r="AQ92" s="10">
        <f>IF(OR($C92="",$D92=""),"",IF(AND(DATE($B$1,1,1)+(39-1)*7&lt;=$D92,DATE($B$1,1,1)+39*7-1&gt;=$C92),1,""))</f>
        <v/>
      </c>
      <c r="AR92" s="10">
        <f>IF(OR($C92="",$D92=""),"",IF(AND(DATE($B$1,1,1)+(40-1)*7&lt;=$D92,DATE($B$1,1,1)+40*7-1&gt;=$C92),1,""))</f>
        <v/>
      </c>
      <c r="AS92" s="10">
        <f>IF(OR($C92="",$D92=""),"",IF(AND(DATE($B$1,1,1)+(41-1)*7&lt;=$D92,DATE($B$1,1,1)+41*7-1&gt;=$C92),1,""))</f>
        <v/>
      </c>
      <c r="AT92" s="10">
        <f>IF(OR($C92="",$D92=""),"",IF(AND(DATE($B$1,1,1)+(42-1)*7&lt;=$D92,DATE($B$1,1,1)+42*7-1&gt;=$C92),1,""))</f>
        <v/>
      </c>
      <c r="AU92" s="10">
        <f>IF(OR($C92="",$D92=""),"",IF(AND(DATE($B$1,1,1)+(43-1)*7&lt;=$D92,DATE($B$1,1,1)+43*7-1&gt;=$C92),1,""))</f>
        <v/>
      </c>
      <c r="AV92" s="10">
        <f>IF(OR($C92="",$D92=""),"",IF(AND(DATE($B$1,1,1)+(44-1)*7&lt;=$D92,DATE($B$1,1,1)+44*7-1&gt;=$C92),1,""))</f>
        <v/>
      </c>
      <c r="AW92" s="10">
        <f>IF(OR($C92="",$D92=""),"",IF(AND(DATE($B$1,1,1)+(45-1)*7&lt;=$D92,DATE($B$1,1,1)+45*7-1&gt;=$C92),1,""))</f>
        <v/>
      </c>
      <c r="AX92" s="10">
        <f>IF(OR($C92="",$D92=""),"",IF(AND(DATE($B$1,1,1)+(46-1)*7&lt;=$D92,DATE($B$1,1,1)+46*7-1&gt;=$C92),1,""))</f>
        <v/>
      </c>
      <c r="AY92" s="10">
        <f>IF(OR($C92="",$D92=""),"",IF(AND(DATE($B$1,1,1)+(47-1)*7&lt;=$D92,DATE($B$1,1,1)+47*7-1&gt;=$C92),1,""))</f>
        <v/>
      </c>
      <c r="AZ92" s="10">
        <f>IF(OR($C92="",$D92=""),"",IF(AND(DATE($B$1,1,1)+(48-1)*7&lt;=$D92,DATE($B$1,1,1)+48*7-1&gt;=$C92),1,""))</f>
        <v/>
      </c>
      <c r="BA92" s="10">
        <f>IF(OR($C92="",$D92=""),"",IF(AND(DATE($B$1,1,1)+(49-1)*7&lt;=$D92,DATE($B$1,1,1)+49*7-1&gt;=$C92),1,""))</f>
        <v/>
      </c>
      <c r="BB92" s="10">
        <f>IF(OR($C92="",$D92=""),"",IF(AND(DATE($B$1,1,1)+(50-1)*7&lt;=$D92,DATE($B$1,1,1)+50*7-1&gt;=$C92),1,""))</f>
        <v/>
      </c>
      <c r="BC92" s="10">
        <f>IF(OR($C92="",$D92=""),"",IF(AND(DATE($B$1,1,1)+(51-1)*7&lt;=$D92,DATE($B$1,1,1)+51*7-1&gt;=$C92),1,""))</f>
        <v/>
      </c>
      <c r="BD92" s="10">
        <f>IF(OR($C92="",$D92=""),"",IF(AND(DATE($B$1,1,1)+(52-1)*7&lt;=$D92,DATE($B$1,1,1)+52*7-1&gt;=$C92),1,""))</f>
        <v/>
      </c>
      <c r="BE92" s="10">
        <f>IF(OR($C92="",$D92=""),"",IF(AND(DATE($B$1,1,1)+(53-1)*7&lt;=$D92,DATE($B$1,1,1)+53*7-1&gt;=$C92),1,""))</f>
        <v/>
      </c>
      <c r="BF92" s="10">
        <f>IF(OR($C92="",$D92=""),"",IF(AND(DATE($B$1,1,1)+(54-1)*7&lt;=$D92,DATE($B$1,1,1)+54*7-1&gt;=$C92),1,""))</f>
        <v/>
      </c>
    </row>
    <row r="93">
      <c r="A93" s="6" t="n"/>
      <c r="B93" s="6" t="n"/>
      <c r="C93" s="11" t="n"/>
      <c r="D93" s="11" t="n"/>
      <c r="E93" s="10">
        <f>IF(OR($C93="",$D93=""),"",IF(AND(DATE($B$1,1,1)+(1-1)*7&lt;=$D93,DATE($B$1,1,1)+1*7-1&gt;=$C93),1,""))</f>
        <v/>
      </c>
      <c r="F93" s="10">
        <f>IF(OR($C93="",$D93=""),"",IF(AND(DATE($B$1,1,1)+(2-1)*7&lt;=$D93,DATE($B$1,1,1)+2*7-1&gt;=$C93),1,""))</f>
        <v/>
      </c>
      <c r="G93" s="10">
        <f>IF(OR($C93="",$D93=""),"",IF(AND(DATE($B$1,1,1)+(3-1)*7&lt;=$D93,DATE($B$1,1,1)+3*7-1&gt;=$C93),1,""))</f>
        <v/>
      </c>
      <c r="H93" s="10">
        <f>IF(OR($C93="",$D93=""),"",IF(AND(DATE($B$1,1,1)+(4-1)*7&lt;=$D93,DATE($B$1,1,1)+4*7-1&gt;=$C93),1,""))</f>
        <v/>
      </c>
      <c r="I93" s="10">
        <f>IF(OR($C93="",$D93=""),"",IF(AND(DATE($B$1,1,1)+(5-1)*7&lt;=$D93,DATE($B$1,1,1)+5*7-1&gt;=$C93),1,""))</f>
        <v/>
      </c>
      <c r="J93" s="10">
        <f>IF(OR($C93="",$D93=""),"",IF(AND(DATE($B$1,1,1)+(6-1)*7&lt;=$D93,DATE($B$1,1,1)+6*7-1&gt;=$C93),1,""))</f>
        <v/>
      </c>
      <c r="K93" s="10">
        <f>IF(OR($C93="",$D93=""),"",IF(AND(DATE($B$1,1,1)+(7-1)*7&lt;=$D93,DATE($B$1,1,1)+7*7-1&gt;=$C93),1,""))</f>
        <v/>
      </c>
      <c r="L93" s="10">
        <f>IF(OR($C93="",$D93=""),"",IF(AND(DATE($B$1,1,1)+(8-1)*7&lt;=$D93,DATE($B$1,1,1)+8*7-1&gt;=$C93),1,""))</f>
        <v/>
      </c>
      <c r="M93" s="10">
        <f>IF(OR($C93="",$D93=""),"",IF(AND(DATE($B$1,1,1)+(9-1)*7&lt;=$D93,DATE($B$1,1,1)+9*7-1&gt;=$C93),1,""))</f>
        <v/>
      </c>
      <c r="N93" s="10">
        <f>IF(OR($C93="",$D93=""),"",IF(AND(DATE($B$1,1,1)+(10-1)*7&lt;=$D93,DATE($B$1,1,1)+10*7-1&gt;=$C93),1,""))</f>
        <v/>
      </c>
      <c r="O93" s="10">
        <f>IF(OR($C93="",$D93=""),"",IF(AND(DATE($B$1,1,1)+(11-1)*7&lt;=$D93,DATE($B$1,1,1)+11*7-1&gt;=$C93),1,""))</f>
        <v/>
      </c>
      <c r="P93" s="10">
        <f>IF(OR($C93="",$D93=""),"",IF(AND(DATE($B$1,1,1)+(12-1)*7&lt;=$D93,DATE($B$1,1,1)+12*7-1&gt;=$C93),1,""))</f>
        <v/>
      </c>
      <c r="Q93" s="10">
        <f>IF(OR($C93="",$D93=""),"",IF(AND(DATE($B$1,1,1)+(13-1)*7&lt;=$D93,DATE($B$1,1,1)+13*7-1&gt;=$C93),1,""))</f>
        <v/>
      </c>
      <c r="R93" s="10">
        <f>IF(OR($C93="",$D93=""),"",IF(AND(DATE($B$1,1,1)+(14-1)*7&lt;=$D93,DATE($B$1,1,1)+14*7-1&gt;=$C93),1,""))</f>
        <v/>
      </c>
      <c r="S93" s="10">
        <f>IF(OR($C93="",$D93=""),"",IF(AND(DATE($B$1,1,1)+(15-1)*7&lt;=$D93,DATE($B$1,1,1)+15*7-1&gt;=$C93),1,""))</f>
        <v/>
      </c>
      <c r="T93" s="10">
        <f>IF(OR($C93="",$D93=""),"",IF(AND(DATE($B$1,1,1)+(16-1)*7&lt;=$D93,DATE($B$1,1,1)+16*7-1&gt;=$C93),1,""))</f>
        <v/>
      </c>
      <c r="U93" s="10">
        <f>IF(OR($C93="",$D93=""),"",IF(AND(DATE($B$1,1,1)+(17-1)*7&lt;=$D93,DATE($B$1,1,1)+17*7-1&gt;=$C93),1,""))</f>
        <v/>
      </c>
      <c r="V93" s="10">
        <f>IF(OR($C93="",$D93=""),"",IF(AND(DATE($B$1,1,1)+(18-1)*7&lt;=$D93,DATE($B$1,1,1)+18*7-1&gt;=$C93),1,""))</f>
        <v/>
      </c>
      <c r="W93" s="10">
        <f>IF(OR($C93="",$D93=""),"",IF(AND(DATE($B$1,1,1)+(19-1)*7&lt;=$D93,DATE($B$1,1,1)+19*7-1&gt;=$C93),1,""))</f>
        <v/>
      </c>
      <c r="X93" s="10">
        <f>IF(OR($C93="",$D93=""),"",IF(AND(DATE($B$1,1,1)+(20-1)*7&lt;=$D93,DATE($B$1,1,1)+20*7-1&gt;=$C93),1,""))</f>
        <v/>
      </c>
      <c r="Y93" s="10">
        <f>IF(OR($C93="",$D93=""),"",IF(AND(DATE($B$1,1,1)+(21-1)*7&lt;=$D93,DATE($B$1,1,1)+21*7-1&gt;=$C93),1,""))</f>
        <v/>
      </c>
      <c r="Z93" s="10">
        <f>IF(OR($C93="",$D93=""),"",IF(AND(DATE($B$1,1,1)+(22-1)*7&lt;=$D93,DATE($B$1,1,1)+22*7-1&gt;=$C93),1,""))</f>
        <v/>
      </c>
      <c r="AA93" s="10">
        <f>IF(OR($C93="",$D93=""),"",IF(AND(DATE($B$1,1,1)+(23-1)*7&lt;=$D93,DATE($B$1,1,1)+23*7-1&gt;=$C93),1,""))</f>
        <v/>
      </c>
      <c r="AB93" s="10">
        <f>IF(OR($C93="",$D93=""),"",IF(AND(DATE($B$1,1,1)+(24-1)*7&lt;=$D93,DATE($B$1,1,1)+24*7-1&gt;=$C93),1,""))</f>
        <v/>
      </c>
      <c r="AC93" s="10">
        <f>IF(OR($C93="",$D93=""),"",IF(AND(DATE($B$1,1,1)+(25-1)*7&lt;=$D93,DATE($B$1,1,1)+25*7-1&gt;=$C93),1,""))</f>
        <v/>
      </c>
      <c r="AD93" s="10">
        <f>IF(OR($C93="",$D93=""),"",IF(AND(DATE($B$1,1,1)+(26-1)*7&lt;=$D93,DATE($B$1,1,1)+26*7-1&gt;=$C93),1,""))</f>
        <v/>
      </c>
      <c r="AE93" s="10">
        <f>IF(OR($C93="",$D93=""),"",IF(AND(DATE($B$1,1,1)+(27-1)*7&lt;=$D93,DATE($B$1,1,1)+27*7-1&gt;=$C93),1,""))</f>
        <v/>
      </c>
      <c r="AF93" s="10">
        <f>IF(OR($C93="",$D93=""),"",IF(AND(DATE($B$1,1,1)+(28-1)*7&lt;=$D93,DATE($B$1,1,1)+28*7-1&gt;=$C93),1,""))</f>
        <v/>
      </c>
      <c r="AG93" s="10">
        <f>IF(OR($C93="",$D93=""),"",IF(AND(DATE($B$1,1,1)+(29-1)*7&lt;=$D93,DATE($B$1,1,1)+29*7-1&gt;=$C93),1,""))</f>
        <v/>
      </c>
      <c r="AH93" s="10">
        <f>IF(OR($C93="",$D93=""),"",IF(AND(DATE($B$1,1,1)+(30-1)*7&lt;=$D93,DATE($B$1,1,1)+30*7-1&gt;=$C93),1,""))</f>
        <v/>
      </c>
      <c r="AI93" s="10">
        <f>IF(OR($C93="",$D93=""),"",IF(AND(DATE($B$1,1,1)+(31-1)*7&lt;=$D93,DATE($B$1,1,1)+31*7-1&gt;=$C93),1,""))</f>
        <v/>
      </c>
      <c r="AJ93" s="10">
        <f>IF(OR($C93="",$D93=""),"",IF(AND(DATE($B$1,1,1)+(32-1)*7&lt;=$D93,DATE($B$1,1,1)+32*7-1&gt;=$C93),1,""))</f>
        <v/>
      </c>
      <c r="AK93" s="10">
        <f>IF(OR($C93="",$D93=""),"",IF(AND(DATE($B$1,1,1)+(33-1)*7&lt;=$D93,DATE($B$1,1,1)+33*7-1&gt;=$C93),1,""))</f>
        <v/>
      </c>
      <c r="AL93" s="10">
        <f>IF(OR($C93="",$D93=""),"",IF(AND(DATE($B$1,1,1)+(34-1)*7&lt;=$D93,DATE($B$1,1,1)+34*7-1&gt;=$C93),1,""))</f>
        <v/>
      </c>
      <c r="AM93" s="10">
        <f>IF(OR($C93="",$D93=""),"",IF(AND(DATE($B$1,1,1)+(35-1)*7&lt;=$D93,DATE($B$1,1,1)+35*7-1&gt;=$C93),1,""))</f>
        <v/>
      </c>
      <c r="AN93" s="10">
        <f>IF(OR($C93="",$D93=""),"",IF(AND(DATE($B$1,1,1)+(36-1)*7&lt;=$D93,DATE($B$1,1,1)+36*7-1&gt;=$C93),1,""))</f>
        <v/>
      </c>
      <c r="AO93" s="10">
        <f>IF(OR($C93="",$D93=""),"",IF(AND(DATE($B$1,1,1)+(37-1)*7&lt;=$D93,DATE($B$1,1,1)+37*7-1&gt;=$C93),1,""))</f>
        <v/>
      </c>
      <c r="AP93" s="10">
        <f>IF(OR($C93="",$D93=""),"",IF(AND(DATE($B$1,1,1)+(38-1)*7&lt;=$D93,DATE($B$1,1,1)+38*7-1&gt;=$C93),1,""))</f>
        <v/>
      </c>
      <c r="AQ93" s="10">
        <f>IF(OR($C93="",$D93=""),"",IF(AND(DATE($B$1,1,1)+(39-1)*7&lt;=$D93,DATE($B$1,1,1)+39*7-1&gt;=$C93),1,""))</f>
        <v/>
      </c>
      <c r="AR93" s="10">
        <f>IF(OR($C93="",$D93=""),"",IF(AND(DATE($B$1,1,1)+(40-1)*7&lt;=$D93,DATE($B$1,1,1)+40*7-1&gt;=$C93),1,""))</f>
        <v/>
      </c>
      <c r="AS93" s="10">
        <f>IF(OR($C93="",$D93=""),"",IF(AND(DATE($B$1,1,1)+(41-1)*7&lt;=$D93,DATE($B$1,1,1)+41*7-1&gt;=$C93),1,""))</f>
        <v/>
      </c>
      <c r="AT93" s="10">
        <f>IF(OR($C93="",$D93=""),"",IF(AND(DATE($B$1,1,1)+(42-1)*7&lt;=$D93,DATE($B$1,1,1)+42*7-1&gt;=$C93),1,""))</f>
        <v/>
      </c>
      <c r="AU93" s="10">
        <f>IF(OR($C93="",$D93=""),"",IF(AND(DATE($B$1,1,1)+(43-1)*7&lt;=$D93,DATE($B$1,1,1)+43*7-1&gt;=$C93),1,""))</f>
        <v/>
      </c>
      <c r="AV93" s="10">
        <f>IF(OR($C93="",$D93=""),"",IF(AND(DATE($B$1,1,1)+(44-1)*7&lt;=$D93,DATE($B$1,1,1)+44*7-1&gt;=$C93),1,""))</f>
        <v/>
      </c>
      <c r="AW93" s="10">
        <f>IF(OR($C93="",$D93=""),"",IF(AND(DATE($B$1,1,1)+(45-1)*7&lt;=$D93,DATE($B$1,1,1)+45*7-1&gt;=$C93),1,""))</f>
        <v/>
      </c>
      <c r="AX93" s="10">
        <f>IF(OR($C93="",$D93=""),"",IF(AND(DATE($B$1,1,1)+(46-1)*7&lt;=$D93,DATE($B$1,1,1)+46*7-1&gt;=$C93),1,""))</f>
        <v/>
      </c>
      <c r="AY93" s="10">
        <f>IF(OR($C93="",$D93=""),"",IF(AND(DATE($B$1,1,1)+(47-1)*7&lt;=$D93,DATE($B$1,1,1)+47*7-1&gt;=$C93),1,""))</f>
        <v/>
      </c>
      <c r="AZ93" s="10">
        <f>IF(OR($C93="",$D93=""),"",IF(AND(DATE($B$1,1,1)+(48-1)*7&lt;=$D93,DATE($B$1,1,1)+48*7-1&gt;=$C93),1,""))</f>
        <v/>
      </c>
      <c r="BA93" s="10">
        <f>IF(OR($C93="",$D93=""),"",IF(AND(DATE($B$1,1,1)+(49-1)*7&lt;=$D93,DATE($B$1,1,1)+49*7-1&gt;=$C93),1,""))</f>
        <v/>
      </c>
      <c r="BB93" s="10">
        <f>IF(OR($C93="",$D93=""),"",IF(AND(DATE($B$1,1,1)+(50-1)*7&lt;=$D93,DATE($B$1,1,1)+50*7-1&gt;=$C93),1,""))</f>
        <v/>
      </c>
      <c r="BC93" s="10">
        <f>IF(OR($C93="",$D93=""),"",IF(AND(DATE($B$1,1,1)+(51-1)*7&lt;=$D93,DATE($B$1,1,1)+51*7-1&gt;=$C93),1,""))</f>
        <v/>
      </c>
      <c r="BD93" s="10">
        <f>IF(OR($C93="",$D93=""),"",IF(AND(DATE($B$1,1,1)+(52-1)*7&lt;=$D93,DATE($B$1,1,1)+52*7-1&gt;=$C93),1,""))</f>
        <v/>
      </c>
      <c r="BE93" s="10">
        <f>IF(OR($C93="",$D93=""),"",IF(AND(DATE($B$1,1,1)+(53-1)*7&lt;=$D93,DATE($B$1,1,1)+53*7-1&gt;=$C93),1,""))</f>
        <v/>
      </c>
      <c r="BF93" s="10">
        <f>IF(OR($C93="",$D93=""),"",IF(AND(DATE($B$1,1,1)+(54-1)*7&lt;=$D93,DATE($B$1,1,1)+54*7-1&gt;=$C93),1,""))</f>
        <v/>
      </c>
    </row>
    <row r="94">
      <c r="A94" s="6" t="n"/>
      <c r="B94" s="6" t="n"/>
      <c r="C94" s="11" t="n"/>
      <c r="D94" s="11" t="n"/>
      <c r="E94" s="10">
        <f>IF(OR($C94="",$D94=""),"",IF(AND(DATE($B$1,1,1)+(1-1)*7&lt;=$D94,DATE($B$1,1,1)+1*7-1&gt;=$C94),1,""))</f>
        <v/>
      </c>
      <c r="F94" s="10">
        <f>IF(OR($C94="",$D94=""),"",IF(AND(DATE($B$1,1,1)+(2-1)*7&lt;=$D94,DATE($B$1,1,1)+2*7-1&gt;=$C94),1,""))</f>
        <v/>
      </c>
      <c r="G94" s="10">
        <f>IF(OR($C94="",$D94=""),"",IF(AND(DATE($B$1,1,1)+(3-1)*7&lt;=$D94,DATE($B$1,1,1)+3*7-1&gt;=$C94),1,""))</f>
        <v/>
      </c>
      <c r="H94" s="10">
        <f>IF(OR($C94="",$D94=""),"",IF(AND(DATE($B$1,1,1)+(4-1)*7&lt;=$D94,DATE($B$1,1,1)+4*7-1&gt;=$C94),1,""))</f>
        <v/>
      </c>
      <c r="I94" s="10">
        <f>IF(OR($C94="",$D94=""),"",IF(AND(DATE($B$1,1,1)+(5-1)*7&lt;=$D94,DATE($B$1,1,1)+5*7-1&gt;=$C94),1,""))</f>
        <v/>
      </c>
      <c r="J94" s="10">
        <f>IF(OR($C94="",$D94=""),"",IF(AND(DATE($B$1,1,1)+(6-1)*7&lt;=$D94,DATE($B$1,1,1)+6*7-1&gt;=$C94),1,""))</f>
        <v/>
      </c>
      <c r="K94" s="10">
        <f>IF(OR($C94="",$D94=""),"",IF(AND(DATE($B$1,1,1)+(7-1)*7&lt;=$D94,DATE($B$1,1,1)+7*7-1&gt;=$C94),1,""))</f>
        <v/>
      </c>
      <c r="L94" s="10">
        <f>IF(OR($C94="",$D94=""),"",IF(AND(DATE($B$1,1,1)+(8-1)*7&lt;=$D94,DATE($B$1,1,1)+8*7-1&gt;=$C94),1,""))</f>
        <v/>
      </c>
      <c r="M94" s="10">
        <f>IF(OR($C94="",$D94=""),"",IF(AND(DATE($B$1,1,1)+(9-1)*7&lt;=$D94,DATE($B$1,1,1)+9*7-1&gt;=$C94),1,""))</f>
        <v/>
      </c>
      <c r="N94" s="10">
        <f>IF(OR($C94="",$D94=""),"",IF(AND(DATE($B$1,1,1)+(10-1)*7&lt;=$D94,DATE($B$1,1,1)+10*7-1&gt;=$C94),1,""))</f>
        <v/>
      </c>
      <c r="O94" s="10">
        <f>IF(OR($C94="",$D94=""),"",IF(AND(DATE($B$1,1,1)+(11-1)*7&lt;=$D94,DATE($B$1,1,1)+11*7-1&gt;=$C94),1,""))</f>
        <v/>
      </c>
      <c r="P94" s="10">
        <f>IF(OR($C94="",$D94=""),"",IF(AND(DATE($B$1,1,1)+(12-1)*7&lt;=$D94,DATE($B$1,1,1)+12*7-1&gt;=$C94),1,""))</f>
        <v/>
      </c>
      <c r="Q94" s="10">
        <f>IF(OR($C94="",$D94=""),"",IF(AND(DATE($B$1,1,1)+(13-1)*7&lt;=$D94,DATE($B$1,1,1)+13*7-1&gt;=$C94),1,""))</f>
        <v/>
      </c>
      <c r="R94" s="10">
        <f>IF(OR($C94="",$D94=""),"",IF(AND(DATE($B$1,1,1)+(14-1)*7&lt;=$D94,DATE($B$1,1,1)+14*7-1&gt;=$C94),1,""))</f>
        <v/>
      </c>
      <c r="S94" s="10">
        <f>IF(OR($C94="",$D94=""),"",IF(AND(DATE($B$1,1,1)+(15-1)*7&lt;=$D94,DATE($B$1,1,1)+15*7-1&gt;=$C94),1,""))</f>
        <v/>
      </c>
      <c r="T94" s="10">
        <f>IF(OR($C94="",$D94=""),"",IF(AND(DATE($B$1,1,1)+(16-1)*7&lt;=$D94,DATE($B$1,1,1)+16*7-1&gt;=$C94),1,""))</f>
        <v/>
      </c>
      <c r="U94" s="10">
        <f>IF(OR($C94="",$D94=""),"",IF(AND(DATE($B$1,1,1)+(17-1)*7&lt;=$D94,DATE($B$1,1,1)+17*7-1&gt;=$C94),1,""))</f>
        <v/>
      </c>
      <c r="V94" s="10">
        <f>IF(OR($C94="",$D94=""),"",IF(AND(DATE($B$1,1,1)+(18-1)*7&lt;=$D94,DATE($B$1,1,1)+18*7-1&gt;=$C94),1,""))</f>
        <v/>
      </c>
      <c r="W94" s="10">
        <f>IF(OR($C94="",$D94=""),"",IF(AND(DATE($B$1,1,1)+(19-1)*7&lt;=$D94,DATE($B$1,1,1)+19*7-1&gt;=$C94),1,""))</f>
        <v/>
      </c>
      <c r="X94" s="10">
        <f>IF(OR($C94="",$D94=""),"",IF(AND(DATE($B$1,1,1)+(20-1)*7&lt;=$D94,DATE($B$1,1,1)+20*7-1&gt;=$C94),1,""))</f>
        <v/>
      </c>
      <c r="Y94" s="10">
        <f>IF(OR($C94="",$D94=""),"",IF(AND(DATE($B$1,1,1)+(21-1)*7&lt;=$D94,DATE($B$1,1,1)+21*7-1&gt;=$C94),1,""))</f>
        <v/>
      </c>
      <c r="Z94" s="10">
        <f>IF(OR($C94="",$D94=""),"",IF(AND(DATE($B$1,1,1)+(22-1)*7&lt;=$D94,DATE($B$1,1,1)+22*7-1&gt;=$C94),1,""))</f>
        <v/>
      </c>
      <c r="AA94" s="10">
        <f>IF(OR($C94="",$D94=""),"",IF(AND(DATE($B$1,1,1)+(23-1)*7&lt;=$D94,DATE($B$1,1,1)+23*7-1&gt;=$C94),1,""))</f>
        <v/>
      </c>
      <c r="AB94" s="10">
        <f>IF(OR($C94="",$D94=""),"",IF(AND(DATE($B$1,1,1)+(24-1)*7&lt;=$D94,DATE($B$1,1,1)+24*7-1&gt;=$C94),1,""))</f>
        <v/>
      </c>
      <c r="AC94" s="10">
        <f>IF(OR($C94="",$D94=""),"",IF(AND(DATE($B$1,1,1)+(25-1)*7&lt;=$D94,DATE($B$1,1,1)+25*7-1&gt;=$C94),1,""))</f>
        <v/>
      </c>
      <c r="AD94" s="10">
        <f>IF(OR($C94="",$D94=""),"",IF(AND(DATE($B$1,1,1)+(26-1)*7&lt;=$D94,DATE($B$1,1,1)+26*7-1&gt;=$C94),1,""))</f>
        <v/>
      </c>
      <c r="AE94" s="10">
        <f>IF(OR($C94="",$D94=""),"",IF(AND(DATE($B$1,1,1)+(27-1)*7&lt;=$D94,DATE($B$1,1,1)+27*7-1&gt;=$C94),1,""))</f>
        <v/>
      </c>
      <c r="AF94" s="10">
        <f>IF(OR($C94="",$D94=""),"",IF(AND(DATE($B$1,1,1)+(28-1)*7&lt;=$D94,DATE($B$1,1,1)+28*7-1&gt;=$C94),1,""))</f>
        <v/>
      </c>
      <c r="AG94" s="10">
        <f>IF(OR($C94="",$D94=""),"",IF(AND(DATE($B$1,1,1)+(29-1)*7&lt;=$D94,DATE($B$1,1,1)+29*7-1&gt;=$C94),1,""))</f>
        <v/>
      </c>
      <c r="AH94" s="10">
        <f>IF(OR($C94="",$D94=""),"",IF(AND(DATE($B$1,1,1)+(30-1)*7&lt;=$D94,DATE($B$1,1,1)+30*7-1&gt;=$C94),1,""))</f>
        <v/>
      </c>
      <c r="AI94" s="10">
        <f>IF(OR($C94="",$D94=""),"",IF(AND(DATE($B$1,1,1)+(31-1)*7&lt;=$D94,DATE($B$1,1,1)+31*7-1&gt;=$C94),1,""))</f>
        <v/>
      </c>
      <c r="AJ94" s="10">
        <f>IF(OR($C94="",$D94=""),"",IF(AND(DATE($B$1,1,1)+(32-1)*7&lt;=$D94,DATE($B$1,1,1)+32*7-1&gt;=$C94),1,""))</f>
        <v/>
      </c>
      <c r="AK94" s="10">
        <f>IF(OR($C94="",$D94=""),"",IF(AND(DATE($B$1,1,1)+(33-1)*7&lt;=$D94,DATE($B$1,1,1)+33*7-1&gt;=$C94),1,""))</f>
        <v/>
      </c>
      <c r="AL94" s="10">
        <f>IF(OR($C94="",$D94=""),"",IF(AND(DATE($B$1,1,1)+(34-1)*7&lt;=$D94,DATE($B$1,1,1)+34*7-1&gt;=$C94),1,""))</f>
        <v/>
      </c>
      <c r="AM94" s="10">
        <f>IF(OR($C94="",$D94=""),"",IF(AND(DATE($B$1,1,1)+(35-1)*7&lt;=$D94,DATE($B$1,1,1)+35*7-1&gt;=$C94),1,""))</f>
        <v/>
      </c>
      <c r="AN94" s="10">
        <f>IF(OR($C94="",$D94=""),"",IF(AND(DATE($B$1,1,1)+(36-1)*7&lt;=$D94,DATE($B$1,1,1)+36*7-1&gt;=$C94),1,""))</f>
        <v/>
      </c>
      <c r="AO94" s="10">
        <f>IF(OR($C94="",$D94=""),"",IF(AND(DATE($B$1,1,1)+(37-1)*7&lt;=$D94,DATE($B$1,1,1)+37*7-1&gt;=$C94),1,""))</f>
        <v/>
      </c>
      <c r="AP94" s="10">
        <f>IF(OR($C94="",$D94=""),"",IF(AND(DATE($B$1,1,1)+(38-1)*7&lt;=$D94,DATE($B$1,1,1)+38*7-1&gt;=$C94),1,""))</f>
        <v/>
      </c>
      <c r="AQ94" s="10">
        <f>IF(OR($C94="",$D94=""),"",IF(AND(DATE($B$1,1,1)+(39-1)*7&lt;=$D94,DATE($B$1,1,1)+39*7-1&gt;=$C94),1,""))</f>
        <v/>
      </c>
      <c r="AR94" s="10">
        <f>IF(OR($C94="",$D94=""),"",IF(AND(DATE($B$1,1,1)+(40-1)*7&lt;=$D94,DATE($B$1,1,1)+40*7-1&gt;=$C94),1,""))</f>
        <v/>
      </c>
      <c r="AS94" s="10">
        <f>IF(OR($C94="",$D94=""),"",IF(AND(DATE($B$1,1,1)+(41-1)*7&lt;=$D94,DATE($B$1,1,1)+41*7-1&gt;=$C94),1,""))</f>
        <v/>
      </c>
      <c r="AT94" s="10">
        <f>IF(OR($C94="",$D94=""),"",IF(AND(DATE($B$1,1,1)+(42-1)*7&lt;=$D94,DATE($B$1,1,1)+42*7-1&gt;=$C94),1,""))</f>
        <v/>
      </c>
      <c r="AU94" s="10">
        <f>IF(OR($C94="",$D94=""),"",IF(AND(DATE($B$1,1,1)+(43-1)*7&lt;=$D94,DATE($B$1,1,1)+43*7-1&gt;=$C94),1,""))</f>
        <v/>
      </c>
      <c r="AV94" s="10">
        <f>IF(OR($C94="",$D94=""),"",IF(AND(DATE($B$1,1,1)+(44-1)*7&lt;=$D94,DATE($B$1,1,1)+44*7-1&gt;=$C94),1,""))</f>
        <v/>
      </c>
      <c r="AW94" s="10">
        <f>IF(OR($C94="",$D94=""),"",IF(AND(DATE($B$1,1,1)+(45-1)*7&lt;=$D94,DATE($B$1,1,1)+45*7-1&gt;=$C94),1,""))</f>
        <v/>
      </c>
      <c r="AX94" s="10">
        <f>IF(OR($C94="",$D94=""),"",IF(AND(DATE($B$1,1,1)+(46-1)*7&lt;=$D94,DATE($B$1,1,1)+46*7-1&gt;=$C94),1,""))</f>
        <v/>
      </c>
      <c r="AY94" s="10">
        <f>IF(OR($C94="",$D94=""),"",IF(AND(DATE($B$1,1,1)+(47-1)*7&lt;=$D94,DATE($B$1,1,1)+47*7-1&gt;=$C94),1,""))</f>
        <v/>
      </c>
      <c r="AZ94" s="10">
        <f>IF(OR($C94="",$D94=""),"",IF(AND(DATE($B$1,1,1)+(48-1)*7&lt;=$D94,DATE($B$1,1,1)+48*7-1&gt;=$C94),1,""))</f>
        <v/>
      </c>
      <c r="BA94" s="10">
        <f>IF(OR($C94="",$D94=""),"",IF(AND(DATE($B$1,1,1)+(49-1)*7&lt;=$D94,DATE($B$1,1,1)+49*7-1&gt;=$C94),1,""))</f>
        <v/>
      </c>
      <c r="BB94" s="10">
        <f>IF(OR($C94="",$D94=""),"",IF(AND(DATE($B$1,1,1)+(50-1)*7&lt;=$D94,DATE($B$1,1,1)+50*7-1&gt;=$C94),1,""))</f>
        <v/>
      </c>
      <c r="BC94" s="10">
        <f>IF(OR($C94="",$D94=""),"",IF(AND(DATE($B$1,1,1)+(51-1)*7&lt;=$D94,DATE($B$1,1,1)+51*7-1&gt;=$C94),1,""))</f>
        <v/>
      </c>
      <c r="BD94" s="10">
        <f>IF(OR($C94="",$D94=""),"",IF(AND(DATE($B$1,1,1)+(52-1)*7&lt;=$D94,DATE($B$1,1,1)+52*7-1&gt;=$C94),1,""))</f>
        <v/>
      </c>
      <c r="BE94" s="10">
        <f>IF(OR($C94="",$D94=""),"",IF(AND(DATE($B$1,1,1)+(53-1)*7&lt;=$D94,DATE($B$1,1,1)+53*7-1&gt;=$C94),1,""))</f>
        <v/>
      </c>
      <c r="BF94" s="10">
        <f>IF(OR($C94="",$D94=""),"",IF(AND(DATE($B$1,1,1)+(54-1)*7&lt;=$D94,DATE($B$1,1,1)+54*7-1&gt;=$C94),1,""))</f>
        <v/>
      </c>
    </row>
    <row r="95">
      <c r="A95" s="6" t="n"/>
      <c r="B95" s="6" t="n"/>
      <c r="C95" s="11" t="n"/>
      <c r="D95" s="11" t="n"/>
      <c r="E95" s="10">
        <f>IF(OR($C95="",$D95=""),"",IF(AND(DATE($B$1,1,1)+(1-1)*7&lt;=$D95,DATE($B$1,1,1)+1*7-1&gt;=$C95),1,""))</f>
        <v/>
      </c>
      <c r="F95" s="10">
        <f>IF(OR($C95="",$D95=""),"",IF(AND(DATE($B$1,1,1)+(2-1)*7&lt;=$D95,DATE($B$1,1,1)+2*7-1&gt;=$C95),1,""))</f>
        <v/>
      </c>
      <c r="G95" s="10">
        <f>IF(OR($C95="",$D95=""),"",IF(AND(DATE($B$1,1,1)+(3-1)*7&lt;=$D95,DATE($B$1,1,1)+3*7-1&gt;=$C95),1,""))</f>
        <v/>
      </c>
      <c r="H95" s="10">
        <f>IF(OR($C95="",$D95=""),"",IF(AND(DATE($B$1,1,1)+(4-1)*7&lt;=$D95,DATE($B$1,1,1)+4*7-1&gt;=$C95),1,""))</f>
        <v/>
      </c>
      <c r="I95" s="10">
        <f>IF(OR($C95="",$D95=""),"",IF(AND(DATE($B$1,1,1)+(5-1)*7&lt;=$D95,DATE($B$1,1,1)+5*7-1&gt;=$C95),1,""))</f>
        <v/>
      </c>
      <c r="J95" s="10">
        <f>IF(OR($C95="",$D95=""),"",IF(AND(DATE($B$1,1,1)+(6-1)*7&lt;=$D95,DATE($B$1,1,1)+6*7-1&gt;=$C95),1,""))</f>
        <v/>
      </c>
      <c r="K95" s="10">
        <f>IF(OR($C95="",$D95=""),"",IF(AND(DATE($B$1,1,1)+(7-1)*7&lt;=$D95,DATE($B$1,1,1)+7*7-1&gt;=$C95),1,""))</f>
        <v/>
      </c>
      <c r="L95" s="10">
        <f>IF(OR($C95="",$D95=""),"",IF(AND(DATE($B$1,1,1)+(8-1)*7&lt;=$D95,DATE($B$1,1,1)+8*7-1&gt;=$C95),1,""))</f>
        <v/>
      </c>
      <c r="M95" s="10">
        <f>IF(OR($C95="",$D95=""),"",IF(AND(DATE($B$1,1,1)+(9-1)*7&lt;=$D95,DATE($B$1,1,1)+9*7-1&gt;=$C95),1,""))</f>
        <v/>
      </c>
      <c r="N95" s="10">
        <f>IF(OR($C95="",$D95=""),"",IF(AND(DATE($B$1,1,1)+(10-1)*7&lt;=$D95,DATE($B$1,1,1)+10*7-1&gt;=$C95),1,""))</f>
        <v/>
      </c>
      <c r="O95" s="10">
        <f>IF(OR($C95="",$D95=""),"",IF(AND(DATE($B$1,1,1)+(11-1)*7&lt;=$D95,DATE($B$1,1,1)+11*7-1&gt;=$C95),1,""))</f>
        <v/>
      </c>
      <c r="P95" s="10">
        <f>IF(OR($C95="",$D95=""),"",IF(AND(DATE($B$1,1,1)+(12-1)*7&lt;=$D95,DATE($B$1,1,1)+12*7-1&gt;=$C95),1,""))</f>
        <v/>
      </c>
      <c r="Q95" s="10">
        <f>IF(OR($C95="",$D95=""),"",IF(AND(DATE($B$1,1,1)+(13-1)*7&lt;=$D95,DATE($B$1,1,1)+13*7-1&gt;=$C95),1,""))</f>
        <v/>
      </c>
      <c r="R95" s="10">
        <f>IF(OR($C95="",$D95=""),"",IF(AND(DATE($B$1,1,1)+(14-1)*7&lt;=$D95,DATE($B$1,1,1)+14*7-1&gt;=$C95),1,""))</f>
        <v/>
      </c>
      <c r="S95" s="10">
        <f>IF(OR($C95="",$D95=""),"",IF(AND(DATE($B$1,1,1)+(15-1)*7&lt;=$D95,DATE($B$1,1,1)+15*7-1&gt;=$C95),1,""))</f>
        <v/>
      </c>
      <c r="T95" s="10">
        <f>IF(OR($C95="",$D95=""),"",IF(AND(DATE($B$1,1,1)+(16-1)*7&lt;=$D95,DATE($B$1,1,1)+16*7-1&gt;=$C95),1,""))</f>
        <v/>
      </c>
      <c r="U95" s="10">
        <f>IF(OR($C95="",$D95=""),"",IF(AND(DATE($B$1,1,1)+(17-1)*7&lt;=$D95,DATE($B$1,1,1)+17*7-1&gt;=$C95),1,""))</f>
        <v/>
      </c>
      <c r="V95" s="10">
        <f>IF(OR($C95="",$D95=""),"",IF(AND(DATE($B$1,1,1)+(18-1)*7&lt;=$D95,DATE($B$1,1,1)+18*7-1&gt;=$C95),1,""))</f>
        <v/>
      </c>
      <c r="W95" s="10">
        <f>IF(OR($C95="",$D95=""),"",IF(AND(DATE($B$1,1,1)+(19-1)*7&lt;=$D95,DATE($B$1,1,1)+19*7-1&gt;=$C95),1,""))</f>
        <v/>
      </c>
      <c r="X95" s="10">
        <f>IF(OR($C95="",$D95=""),"",IF(AND(DATE($B$1,1,1)+(20-1)*7&lt;=$D95,DATE($B$1,1,1)+20*7-1&gt;=$C95),1,""))</f>
        <v/>
      </c>
      <c r="Y95" s="10">
        <f>IF(OR($C95="",$D95=""),"",IF(AND(DATE($B$1,1,1)+(21-1)*7&lt;=$D95,DATE($B$1,1,1)+21*7-1&gt;=$C95),1,""))</f>
        <v/>
      </c>
      <c r="Z95" s="10">
        <f>IF(OR($C95="",$D95=""),"",IF(AND(DATE($B$1,1,1)+(22-1)*7&lt;=$D95,DATE($B$1,1,1)+22*7-1&gt;=$C95),1,""))</f>
        <v/>
      </c>
      <c r="AA95" s="10">
        <f>IF(OR($C95="",$D95=""),"",IF(AND(DATE($B$1,1,1)+(23-1)*7&lt;=$D95,DATE($B$1,1,1)+23*7-1&gt;=$C95),1,""))</f>
        <v/>
      </c>
      <c r="AB95" s="10">
        <f>IF(OR($C95="",$D95=""),"",IF(AND(DATE($B$1,1,1)+(24-1)*7&lt;=$D95,DATE($B$1,1,1)+24*7-1&gt;=$C95),1,""))</f>
        <v/>
      </c>
      <c r="AC95" s="10">
        <f>IF(OR($C95="",$D95=""),"",IF(AND(DATE($B$1,1,1)+(25-1)*7&lt;=$D95,DATE($B$1,1,1)+25*7-1&gt;=$C95),1,""))</f>
        <v/>
      </c>
      <c r="AD95" s="10">
        <f>IF(OR($C95="",$D95=""),"",IF(AND(DATE($B$1,1,1)+(26-1)*7&lt;=$D95,DATE($B$1,1,1)+26*7-1&gt;=$C95),1,""))</f>
        <v/>
      </c>
      <c r="AE95" s="10">
        <f>IF(OR($C95="",$D95=""),"",IF(AND(DATE($B$1,1,1)+(27-1)*7&lt;=$D95,DATE($B$1,1,1)+27*7-1&gt;=$C95),1,""))</f>
        <v/>
      </c>
      <c r="AF95" s="10">
        <f>IF(OR($C95="",$D95=""),"",IF(AND(DATE($B$1,1,1)+(28-1)*7&lt;=$D95,DATE($B$1,1,1)+28*7-1&gt;=$C95),1,""))</f>
        <v/>
      </c>
      <c r="AG95" s="10">
        <f>IF(OR($C95="",$D95=""),"",IF(AND(DATE($B$1,1,1)+(29-1)*7&lt;=$D95,DATE($B$1,1,1)+29*7-1&gt;=$C95),1,""))</f>
        <v/>
      </c>
      <c r="AH95" s="10">
        <f>IF(OR($C95="",$D95=""),"",IF(AND(DATE($B$1,1,1)+(30-1)*7&lt;=$D95,DATE($B$1,1,1)+30*7-1&gt;=$C95),1,""))</f>
        <v/>
      </c>
      <c r="AI95" s="10">
        <f>IF(OR($C95="",$D95=""),"",IF(AND(DATE($B$1,1,1)+(31-1)*7&lt;=$D95,DATE($B$1,1,1)+31*7-1&gt;=$C95),1,""))</f>
        <v/>
      </c>
      <c r="AJ95" s="10">
        <f>IF(OR($C95="",$D95=""),"",IF(AND(DATE($B$1,1,1)+(32-1)*7&lt;=$D95,DATE($B$1,1,1)+32*7-1&gt;=$C95),1,""))</f>
        <v/>
      </c>
      <c r="AK95" s="10">
        <f>IF(OR($C95="",$D95=""),"",IF(AND(DATE($B$1,1,1)+(33-1)*7&lt;=$D95,DATE($B$1,1,1)+33*7-1&gt;=$C95),1,""))</f>
        <v/>
      </c>
      <c r="AL95" s="10">
        <f>IF(OR($C95="",$D95=""),"",IF(AND(DATE($B$1,1,1)+(34-1)*7&lt;=$D95,DATE($B$1,1,1)+34*7-1&gt;=$C95),1,""))</f>
        <v/>
      </c>
      <c r="AM95" s="10">
        <f>IF(OR($C95="",$D95=""),"",IF(AND(DATE($B$1,1,1)+(35-1)*7&lt;=$D95,DATE($B$1,1,1)+35*7-1&gt;=$C95),1,""))</f>
        <v/>
      </c>
      <c r="AN95" s="10">
        <f>IF(OR($C95="",$D95=""),"",IF(AND(DATE($B$1,1,1)+(36-1)*7&lt;=$D95,DATE($B$1,1,1)+36*7-1&gt;=$C95),1,""))</f>
        <v/>
      </c>
      <c r="AO95" s="10">
        <f>IF(OR($C95="",$D95=""),"",IF(AND(DATE($B$1,1,1)+(37-1)*7&lt;=$D95,DATE($B$1,1,1)+37*7-1&gt;=$C95),1,""))</f>
        <v/>
      </c>
      <c r="AP95" s="10">
        <f>IF(OR($C95="",$D95=""),"",IF(AND(DATE($B$1,1,1)+(38-1)*7&lt;=$D95,DATE($B$1,1,1)+38*7-1&gt;=$C95),1,""))</f>
        <v/>
      </c>
      <c r="AQ95" s="10">
        <f>IF(OR($C95="",$D95=""),"",IF(AND(DATE($B$1,1,1)+(39-1)*7&lt;=$D95,DATE($B$1,1,1)+39*7-1&gt;=$C95),1,""))</f>
        <v/>
      </c>
      <c r="AR95" s="10">
        <f>IF(OR($C95="",$D95=""),"",IF(AND(DATE($B$1,1,1)+(40-1)*7&lt;=$D95,DATE($B$1,1,1)+40*7-1&gt;=$C95),1,""))</f>
        <v/>
      </c>
      <c r="AS95" s="10">
        <f>IF(OR($C95="",$D95=""),"",IF(AND(DATE($B$1,1,1)+(41-1)*7&lt;=$D95,DATE($B$1,1,1)+41*7-1&gt;=$C95),1,""))</f>
        <v/>
      </c>
      <c r="AT95" s="10">
        <f>IF(OR($C95="",$D95=""),"",IF(AND(DATE($B$1,1,1)+(42-1)*7&lt;=$D95,DATE($B$1,1,1)+42*7-1&gt;=$C95),1,""))</f>
        <v/>
      </c>
      <c r="AU95" s="10">
        <f>IF(OR($C95="",$D95=""),"",IF(AND(DATE($B$1,1,1)+(43-1)*7&lt;=$D95,DATE($B$1,1,1)+43*7-1&gt;=$C95),1,""))</f>
        <v/>
      </c>
      <c r="AV95" s="10">
        <f>IF(OR($C95="",$D95=""),"",IF(AND(DATE($B$1,1,1)+(44-1)*7&lt;=$D95,DATE($B$1,1,1)+44*7-1&gt;=$C95),1,""))</f>
        <v/>
      </c>
      <c r="AW95" s="10">
        <f>IF(OR($C95="",$D95=""),"",IF(AND(DATE($B$1,1,1)+(45-1)*7&lt;=$D95,DATE($B$1,1,1)+45*7-1&gt;=$C95),1,""))</f>
        <v/>
      </c>
      <c r="AX95" s="10">
        <f>IF(OR($C95="",$D95=""),"",IF(AND(DATE($B$1,1,1)+(46-1)*7&lt;=$D95,DATE($B$1,1,1)+46*7-1&gt;=$C95),1,""))</f>
        <v/>
      </c>
      <c r="AY95" s="10">
        <f>IF(OR($C95="",$D95=""),"",IF(AND(DATE($B$1,1,1)+(47-1)*7&lt;=$D95,DATE($B$1,1,1)+47*7-1&gt;=$C95),1,""))</f>
        <v/>
      </c>
      <c r="AZ95" s="10">
        <f>IF(OR($C95="",$D95=""),"",IF(AND(DATE($B$1,1,1)+(48-1)*7&lt;=$D95,DATE($B$1,1,1)+48*7-1&gt;=$C95),1,""))</f>
        <v/>
      </c>
      <c r="BA95" s="10">
        <f>IF(OR($C95="",$D95=""),"",IF(AND(DATE($B$1,1,1)+(49-1)*7&lt;=$D95,DATE($B$1,1,1)+49*7-1&gt;=$C95),1,""))</f>
        <v/>
      </c>
      <c r="BB95" s="10">
        <f>IF(OR($C95="",$D95=""),"",IF(AND(DATE($B$1,1,1)+(50-1)*7&lt;=$D95,DATE($B$1,1,1)+50*7-1&gt;=$C95),1,""))</f>
        <v/>
      </c>
      <c r="BC95" s="10">
        <f>IF(OR($C95="",$D95=""),"",IF(AND(DATE($B$1,1,1)+(51-1)*7&lt;=$D95,DATE($B$1,1,1)+51*7-1&gt;=$C95),1,""))</f>
        <v/>
      </c>
      <c r="BD95" s="10">
        <f>IF(OR($C95="",$D95=""),"",IF(AND(DATE($B$1,1,1)+(52-1)*7&lt;=$D95,DATE($B$1,1,1)+52*7-1&gt;=$C95),1,""))</f>
        <v/>
      </c>
      <c r="BE95" s="10">
        <f>IF(OR($C95="",$D95=""),"",IF(AND(DATE($B$1,1,1)+(53-1)*7&lt;=$D95,DATE($B$1,1,1)+53*7-1&gt;=$C95),1,""))</f>
        <v/>
      </c>
      <c r="BF95" s="10">
        <f>IF(OR($C95="",$D95=""),"",IF(AND(DATE($B$1,1,1)+(54-1)*7&lt;=$D95,DATE($B$1,1,1)+54*7-1&gt;=$C95),1,""))</f>
        <v/>
      </c>
    </row>
    <row r="96">
      <c r="A96" s="6" t="n"/>
      <c r="B96" s="6" t="n"/>
      <c r="C96" s="11" t="n"/>
      <c r="D96" s="11" t="n"/>
      <c r="E96" s="10">
        <f>IF(OR($C96="",$D96=""),"",IF(AND(DATE($B$1,1,1)+(1-1)*7&lt;=$D96,DATE($B$1,1,1)+1*7-1&gt;=$C96),1,""))</f>
        <v/>
      </c>
      <c r="F96" s="10">
        <f>IF(OR($C96="",$D96=""),"",IF(AND(DATE($B$1,1,1)+(2-1)*7&lt;=$D96,DATE($B$1,1,1)+2*7-1&gt;=$C96),1,""))</f>
        <v/>
      </c>
      <c r="G96" s="10">
        <f>IF(OR($C96="",$D96=""),"",IF(AND(DATE($B$1,1,1)+(3-1)*7&lt;=$D96,DATE($B$1,1,1)+3*7-1&gt;=$C96),1,""))</f>
        <v/>
      </c>
      <c r="H96" s="10">
        <f>IF(OR($C96="",$D96=""),"",IF(AND(DATE($B$1,1,1)+(4-1)*7&lt;=$D96,DATE($B$1,1,1)+4*7-1&gt;=$C96),1,""))</f>
        <v/>
      </c>
      <c r="I96" s="10">
        <f>IF(OR($C96="",$D96=""),"",IF(AND(DATE($B$1,1,1)+(5-1)*7&lt;=$D96,DATE($B$1,1,1)+5*7-1&gt;=$C96),1,""))</f>
        <v/>
      </c>
      <c r="J96" s="10">
        <f>IF(OR($C96="",$D96=""),"",IF(AND(DATE($B$1,1,1)+(6-1)*7&lt;=$D96,DATE($B$1,1,1)+6*7-1&gt;=$C96),1,""))</f>
        <v/>
      </c>
      <c r="K96" s="10">
        <f>IF(OR($C96="",$D96=""),"",IF(AND(DATE($B$1,1,1)+(7-1)*7&lt;=$D96,DATE($B$1,1,1)+7*7-1&gt;=$C96),1,""))</f>
        <v/>
      </c>
      <c r="L96" s="10">
        <f>IF(OR($C96="",$D96=""),"",IF(AND(DATE($B$1,1,1)+(8-1)*7&lt;=$D96,DATE($B$1,1,1)+8*7-1&gt;=$C96),1,""))</f>
        <v/>
      </c>
      <c r="M96" s="10">
        <f>IF(OR($C96="",$D96=""),"",IF(AND(DATE($B$1,1,1)+(9-1)*7&lt;=$D96,DATE($B$1,1,1)+9*7-1&gt;=$C96),1,""))</f>
        <v/>
      </c>
      <c r="N96" s="10">
        <f>IF(OR($C96="",$D96=""),"",IF(AND(DATE($B$1,1,1)+(10-1)*7&lt;=$D96,DATE($B$1,1,1)+10*7-1&gt;=$C96),1,""))</f>
        <v/>
      </c>
      <c r="O96" s="10">
        <f>IF(OR($C96="",$D96=""),"",IF(AND(DATE($B$1,1,1)+(11-1)*7&lt;=$D96,DATE($B$1,1,1)+11*7-1&gt;=$C96),1,""))</f>
        <v/>
      </c>
      <c r="P96" s="10">
        <f>IF(OR($C96="",$D96=""),"",IF(AND(DATE($B$1,1,1)+(12-1)*7&lt;=$D96,DATE($B$1,1,1)+12*7-1&gt;=$C96),1,""))</f>
        <v/>
      </c>
      <c r="Q96" s="10">
        <f>IF(OR($C96="",$D96=""),"",IF(AND(DATE($B$1,1,1)+(13-1)*7&lt;=$D96,DATE($B$1,1,1)+13*7-1&gt;=$C96),1,""))</f>
        <v/>
      </c>
      <c r="R96" s="10">
        <f>IF(OR($C96="",$D96=""),"",IF(AND(DATE($B$1,1,1)+(14-1)*7&lt;=$D96,DATE($B$1,1,1)+14*7-1&gt;=$C96),1,""))</f>
        <v/>
      </c>
      <c r="S96" s="10">
        <f>IF(OR($C96="",$D96=""),"",IF(AND(DATE($B$1,1,1)+(15-1)*7&lt;=$D96,DATE($B$1,1,1)+15*7-1&gt;=$C96),1,""))</f>
        <v/>
      </c>
      <c r="T96" s="10">
        <f>IF(OR($C96="",$D96=""),"",IF(AND(DATE($B$1,1,1)+(16-1)*7&lt;=$D96,DATE($B$1,1,1)+16*7-1&gt;=$C96),1,""))</f>
        <v/>
      </c>
      <c r="U96" s="10">
        <f>IF(OR($C96="",$D96=""),"",IF(AND(DATE($B$1,1,1)+(17-1)*7&lt;=$D96,DATE($B$1,1,1)+17*7-1&gt;=$C96),1,""))</f>
        <v/>
      </c>
      <c r="V96" s="10">
        <f>IF(OR($C96="",$D96=""),"",IF(AND(DATE($B$1,1,1)+(18-1)*7&lt;=$D96,DATE($B$1,1,1)+18*7-1&gt;=$C96),1,""))</f>
        <v/>
      </c>
      <c r="W96" s="10">
        <f>IF(OR($C96="",$D96=""),"",IF(AND(DATE($B$1,1,1)+(19-1)*7&lt;=$D96,DATE($B$1,1,1)+19*7-1&gt;=$C96),1,""))</f>
        <v/>
      </c>
      <c r="X96" s="10">
        <f>IF(OR($C96="",$D96=""),"",IF(AND(DATE($B$1,1,1)+(20-1)*7&lt;=$D96,DATE($B$1,1,1)+20*7-1&gt;=$C96),1,""))</f>
        <v/>
      </c>
      <c r="Y96" s="10">
        <f>IF(OR($C96="",$D96=""),"",IF(AND(DATE($B$1,1,1)+(21-1)*7&lt;=$D96,DATE($B$1,1,1)+21*7-1&gt;=$C96),1,""))</f>
        <v/>
      </c>
      <c r="Z96" s="10">
        <f>IF(OR($C96="",$D96=""),"",IF(AND(DATE($B$1,1,1)+(22-1)*7&lt;=$D96,DATE($B$1,1,1)+22*7-1&gt;=$C96),1,""))</f>
        <v/>
      </c>
      <c r="AA96" s="10">
        <f>IF(OR($C96="",$D96=""),"",IF(AND(DATE($B$1,1,1)+(23-1)*7&lt;=$D96,DATE($B$1,1,1)+23*7-1&gt;=$C96),1,""))</f>
        <v/>
      </c>
      <c r="AB96" s="10">
        <f>IF(OR($C96="",$D96=""),"",IF(AND(DATE($B$1,1,1)+(24-1)*7&lt;=$D96,DATE($B$1,1,1)+24*7-1&gt;=$C96),1,""))</f>
        <v/>
      </c>
      <c r="AC96" s="10">
        <f>IF(OR($C96="",$D96=""),"",IF(AND(DATE($B$1,1,1)+(25-1)*7&lt;=$D96,DATE($B$1,1,1)+25*7-1&gt;=$C96),1,""))</f>
        <v/>
      </c>
      <c r="AD96" s="10">
        <f>IF(OR($C96="",$D96=""),"",IF(AND(DATE($B$1,1,1)+(26-1)*7&lt;=$D96,DATE($B$1,1,1)+26*7-1&gt;=$C96),1,""))</f>
        <v/>
      </c>
      <c r="AE96" s="10">
        <f>IF(OR($C96="",$D96=""),"",IF(AND(DATE($B$1,1,1)+(27-1)*7&lt;=$D96,DATE($B$1,1,1)+27*7-1&gt;=$C96),1,""))</f>
        <v/>
      </c>
      <c r="AF96" s="10">
        <f>IF(OR($C96="",$D96=""),"",IF(AND(DATE($B$1,1,1)+(28-1)*7&lt;=$D96,DATE($B$1,1,1)+28*7-1&gt;=$C96),1,""))</f>
        <v/>
      </c>
      <c r="AG96" s="10">
        <f>IF(OR($C96="",$D96=""),"",IF(AND(DATE($B$1,1,1)+(29-1)*7&lt;=$D96,DATE($B$1,1,1)+29*7-1&gt;=$C96),1,""))</f>
        <v/>
      </c>
      <c r="AH96" s="10">
        <f>IF(OR($C96="",$D96=""),"",IF(AND(DATE($B$1,1,1)+(30-1)*7&lt;=$D96,DATE($B$1,1,1)+30*7-1&gt;=$C96),1,""))</f>
        <v/>
      </c>
      <c r="AI96" s="10">
        <f>IF(OR($C96="",$D96=""),"",IF(AND(DATE($B$1,1,1)+(31-1)*7&lt;=$D96,DATE($B$1,1,1)+31*7-1&gt;=$C96),1,""))</f>
        <v/>
      </c>
      <c r="AJ96" s="10">
        <f>IF(OR($C96="",$D96=""),"",IF(AND(DATE($B$1,1,1)+(32-1)*7&lt;=$D96,DATE($B$1,1,1)+32*7-1&gt;=$C96),1,""))</f>
        <v/>
      </c>
      <c r="AK96" s="10">
        <f>IF(OR($C96="",$D96=""),"",IF(AND(DATE($B$1,1,1)+(33-1)*7&lt;=$D96,DATE($B$1,1,1)+33*7-1&gt;=$C96),1,""))</f>
        <v/>
      </c>
      <c r="AL96" s="10">
        <f>IF(OR($C96="",$D96=""),"",IF(AND(DATE($B$1,1,1)+(34-1)*7&lt;=$D96,DATE($B$1,1,1)+34*7-1&gt;=$C96),1,""))</f>
        <v/>
      </c>
      <c r="AM96" s="10">
        <f>IF(OR($C96="",$D96=""),"",IF(AND(DATE($B$1,1,1)+(35-1)*7&lt;=$D96,DATE($B$1,1,1)+35*7-1&gt;=$C96),1,""))</f>
        <v/>
      </c>
      <c r="AN96" s="10">
        <f>IF(OR($C96="",$D96=""),"",IF(AND(DATE($B$1,1,1)+(36-1)*7&lt;=$D96,DATE($B$1,1,1)+36*7-1&gt;=$C96),1,""))</f>
        <v/>
      </c>
      <c r="AO96" s="10">
        <f>IF(OR($C96="",$D96=""),"",IF(AND(DATE($B$1,1,1)+(37-1)*7&lt;=$D96,DATE($B$1,1,1)+37*7-1&gt;=$C96),1,""))</f>
        <v/>
      </c>
      <c r="AP96" s="10">
        <f>IF(OR($C96="",$D96=""),"",IF(AND(DATE($B$1,1,1)+(38-1)*7&lt;=$D96,DATE($B$1,1,1)+38*7-1&gt;=$C96),1,""))</f>
        <v/>
      </c>
      <c r="AQ96" s="10">
        <f>IF(OR($C96="",$D96=""),"",IF(AND(DATE($B$1,1,1)+(39-1)*7&lt;=$D96,DATE($B$1,1,1)+39*7-1&gt;=$C96),1,""))</f>
        <v/>
      </c>
      <c r="AR96" s="10">
        <f>IF(OR($C96="",$D96=""),"",IF(AND(DATE($B$1,1,1)+(40-1)*7&lt;=$D96,DATE($B$1,1,1)+40*7-1&gt;=$C96),1,""))</f>
        <v/>
      </c>
      <c r="AS96" s="10">
        <f>IF(OR($C96="",$D96=""),"",IF(AND(DATE($B$1,1,1)+(41-1)*7&lt;=$D96,DATE($B$1,1,1)+41*7-1&gt;=$C96),1,""))</f>
        <v/>
      </c>
      <c r="AT96" s="10">
        <f>IF(OR($C96="",$D96=""),"",IF(AND(DATE($B$1,1,1)+(42-1)*7&lt;=$D96,DATE($B$1,1,1)+42*7-1&gt;=$C96),1,""))</f>
        <v/>
      </c>
      <c r="AU96" s="10">
        <f>IF(OR($C96="",$D96=""),"",IF(AND(DATE($B$1,1,1)+(43-1)*7&lt;=$D96,DATE($B$1,1,1)+43*7-1&gt;=$C96),1,""))</f>
        <v/>
      </c>
      <c r="AV96" s="10">
        <f>IF(OR($C96="",$D96=""),"",IF(AND(DATE($B$1,1,1)+(44-1)*7&lt;=$D96,DATE($B$1,1,1)+44*7-1&gt;=$C96),1,""))</f>
        <v/>
      </c>
      <c r="AW96" s="10">
        <f>IF(OR($C96="",$D96=""),"",IF(AND(DATE($B$1,1,1)+(45-1)*7&lt;=$D96,DATE($B$1,1,1)+45*7-1&gt;=$C96),1,""))</f>
        <v/>
      </c>
      <c r="AX96" s="10">
        <f>IF(OR($C96="",$D96=""),"",IF(AND(DATE($B$1,1,1)+(46-1)*7&lt;=$D96,DATE($B$1,1,1)+46*7-1&gt;=$C96),1,""))</f>
        <v/>
      </c>
      <c r="AY96" s="10">
        <f>IF(OR($C96="",$D96=""),"",IF(AND(DATE($B$1,1,1)+(47-1)*7&lt;=$D96,DATE($B$1,1,1)+47*7-1&gt;=$C96),1,""))</f>
        <v/>
      </c>
      <c r="AZ96" s="10">
        <f>IF(OR($C96="",$D96=""),"",IF(AND(DATE($B$1,1,1)+(48-1)*7&lt;=$D96,DATE($B$1,1,1)+48*7-1&gt;=$C96),1,""))</f>
        <v/>
      </c>
      <c r="BA96" s="10">
        <f>IF(OR($C96="",$D96=""),"",IF(AND(DATE($B$1,1,1)+(49-1)*7&lt;=$D96,DATE($B$1,1,1)+49*7-1&gt;=$C96),1,""))</f>
        <v/>
      </c>
      <c r="BB96" s="10">
        <f>IF(OR($C96="",$D96=""),"",IF(AND(DATE($B$1,1,1)+(50-1)*7&lt;=$D96,DATE($B$1,1,1)+50*7-1&gt;=$C96),1,""))</f>
        <v/>
      </c>
      <c r="BC96" s="10">
        <f>IF(OR($C96="",$D96=""),"",IF(AND(DATE($B$1,1,1)+(51-1)*7&lt;=$D96,DATE($B$1,1,1)+51*7-1&gt;=$C96),1,""))</f>
        <v/>
      </c>
      <c r="BD96" s="10">
        <f>IF(OR($C96="",$D96=""),"",IF(AND(DATE($B$1,1,1)+(52-1)*7&lt;=$D96,DATE($B$1,1,1)+52*7-1&gt;=$C96),1,""))</f>
        <v/>
      </c>
      <c r="BE96" s="10">
        <f>IF(OR($C96="",$D96=""),"",IF(AND(DATE($B$1,1,1)+(53-1)*7&lt;=$D96,DATE($B$1,1,1)+53*7-1&gt;=$C96),1,""))</f>
        <v/>
      </c>
      <c r="BF96" s="10">
        <f>IF(OR($C96="",$D96=""),"",IF(AND(DATE($B$1,1,1)+(54-1)*7&lt;=$D96,DATE($B$1,1,1)+54*7-1&gt;=$C96),1,""))</f>
        <v/>
      </c>
    </row>
    <row r="97">
      <c r="A97" s="6" t="n"/>
      <c r="B97" s="6" t="n"/>
      <c r="C97" s="11" t="n"/>
      <c r="D97" s="11" t="n"/>
      <c r="E97" s="10">
        <f>IF(OR($C97="",$D97=""),"",IF(AND(DATE($B$1,1,1)+(1-1)*7&lt;=$D97,DATE($B$1,1,1)+1*7-1&gt;=$C97),1,""))</f>
        <v/>
      </c>
      <c r="F97" s="10">
        <f>IF(OR($C97="",$D97=""),"",IF(AND(DATE($B$1,1,1)+(2-1)*7&lt;=$D97,DATE($B$1,1,1)+2*7-1&gt;=$C97),1,""))</f>
        <v/>
      </c>
      <c r="G97" s="10">
        <f>IF(OR($C97="",$D97=""),"",IF(AND(DATE($B$1,1,1)+(3-1)*7&lt;=$D97,DATE($B$1,1,1)+3*7-1&gt;=$C97),1,""))</f>
        <v/>
      </c>
      <c r="H97" s="10">
        <f>IF(OR($C97="",$D97=""),"",IF(AND(DATE($B$1,1,1)+(4-1)*7&lt;=$D97,DATE($B$1,1,1)+4*7-1&gt;=$C97),1,""))</f>
        <v/>
      </c>
      <c r="I97" s="10">
        <f>IF(OR($C97="",$D97=""),"",IF(AND(DATE($B$1,1,1)+(5-1)*7&lt;=$D97,DATE($B$1,1,1)+5*7-1&gt;=$C97),1,""))</f>
        <v/>
      </c>
      <c r="J97" s="10">
        <f>IF(OR($C97="",$D97=""),"",IF(AND(DATE($B$1,1,1)+(6-1)*7&lt;=$D97,DATE($B$1,1,1)+6*7-1&gt;=$C97),1,""))</f>
        <v/>
      </c>
      <c r="K97" s="10">
        <f>IF(OR($C97="",$D97=""),"",IF(AND(DATE($B$1,1,1)+(7-1)*7&lt;=$D97,DATE($B$1,1,1)+7*7-1&gt;=$C97),1,""))</f>
        <v/>
      </c>
      <c r="L97" s="10">
        <f>IF(OR($C97="",$D97=""),"",IF(AND(DATE($B$1,1,1)+(8-1)*7&lt;=$D97,DATE($B$1,1,1)+8*7-1&gt;=$C97),1,""))</f>
        <v/>
      </c>
      <c r="M97" s="10">
        <f>IF(OR($C97="",$D97=""),"",IF(AND(DATE($B$1,1,1)+(9-1)*7&lt;=$D97,DATE($B$1,1,1)+9*7-1&gt;=$C97),1,""))</f>
        <v/>
      </c>
      <c r="N97" s="10">
        <f>IF(OR($C97="",$D97=""),"",IF(AND(DATE($B$1,1,1)+(10-1)*7&lt;=$D97,DATE($B$1,1,1)+10*7-1&gt;=$C97),1,""))</f>
        <v/>
      </c>
      <c r="O97" s="10">
        <f>IF(OR($C97="",$D97=""),"",IF(AND(DATE($B$1,1,1)+(11-1)*7&lt;=$D97,DATE($B$1,1,1)+11*7-1&gt;=$C97),1,""))</f>
        <v/>
      </c>
      <c r="P97" s="10">
        <f>IF(OR($C97="",$D97=""),"",IF(AND(DATE($B$1,1,1)+(12-1)*7&lt;=$D97,DATE($B$1,1,1)+12*7-1&gt;=$C97),1,""))</f>
        <v/>
      </c>
      <c r="Q97" s="10">
        <f>IF(OR($C97="",$D97=""),"",IF(AND(DATE($B$1,1,1)+(13-1)*7&lt;=$D97,DATE($B$1,1,1)+13*7-1&gt;=$C97),1,""))</f>
        <v/>
      </c>
      <c r="R97" s="10">
        <f>IF(OR($C97="",$D97=""),"",IF(AND(DATE($B$1,1,1)+(14-1)*7&lt;=$D97,DATE($B$1,1,1)+14*7-1&gt;=$C97),1,""))</f>
        <v/>
      </c>
      <c r="S97" s="10">
        <f>IF(OR($C97="",$D97=""),"",IF(AND(DATE($B$1,1,1)+(15-1)*7&lt;=$D97,DATE($B$1,1,1)+15*7-1&gt;=$C97),1,""))</f>
        <v/>
      </c>
      <c r="T97" s="10">
        <f>IF(OR($C97="",$D97=""),"",IF(AND(DATE($B$1,1,1)+(16-1)*7&lt;=$D97,DATE($B$1,1,1)+16*7-1&gt;=$C97),1,""))</f>
        <v/>
      </c>
      <c r="U97" s="10">
        <f>IF(OR($C97="",$D97=""),"",IF(AND(DATE($B$1,1,1)+(17-1)*7&lt;=$D97,DATE($B$1,1,1)+17*7-1&gt;=$C97),1,""))</f>
        <v/>
      </c>
      <c r="V97" s="10">
        <f>IF(OR($C97="",$D97=""),"",IF(AND(DATE($B$1,1,1)+(18-1)*7&lt;=$D97,DATE($B$1,1,1)+18*7-1&gt;=$C97),1,""))</f>
        <v/>
      </c>
      <c r="W97" s="10">
        <f>IF(OR($C97="",$D97=""),"",IF(AND(DATE($B$1,1,1)+(19-1)*7&lt;=$D97,DATE($B$1,1,1)+19*7-1&gt;=$C97),1,""))</f>
        <v/>
      </c>
      <c r="X97" s="10">
        <f>IF(OR($C97="",$D97=""),"",IF(AND(DATE($B$1,1,1)+(20-1)*7&lt;=$D97,DATE($B$1,1,1)+20*7-1&gt;=$C97),1,""))</f>
        <v/>
      </c>
      <c r="Y97" s="10">
        <f>IF(OR($C97="",$D97=""),"",IF(AND(DATE($B$1,1,1)+(21-1)*7&lt;=$D97,DATE($B$1,1,1)+21*7-1&gt;=$C97),1,""))</f>
        <v/>
      </c>
      <c r="Z97" s="10">
        <f>IF(OR($C97="",$D97=""),"",IF(AND(DATE($B$1,1,1)+(22-1)*7&lt;=$D97,DATE($B$1,1,1)+22*7-1&gt;=$C97),1,""))</f>
        <v/>
      </c>
      <c r="AA97" s="10">
        <f>IF(OR($C97="",$D97=""),"",IF(AND(DATE($B$1,1,1)+(23-1)*7&lt;=$D97,DATE($B$1,1,1)+23*7-1&gt;=$C97),1,""))</f>
        <v/>
      </c>
      <c r="AB97" s="10">
        <f>IF(OR($C97="",$D97=""),"",IF(AND(DATE($B$1,1,1)+(24-1)*7&lt;=$D97,DATE($B$1,1,1)+24*7-1&gt;=$C97),1,""))</f>
        <v/>
      </c>
      <c r="AC97" s="10">
        <f>IF(OR($C97="",$D97=""),"",IF(AND(DATE($B$1,1,1)+(25-1)*7&lt;=$D97,DATE($B$1,1,1)+25*7-1&gt;=$C97),1,""))</f>
        <v/>
      </c>
      <c r="AD97" s="10">
        <f>IF(OR($C97="",$D97=""),"",IF(AND(DATE($B$1,1,1)+(26-1)*7&lt;=$D97,DATE($B$1,1,1)+26*7-1&gt;=$C97),1,""))</f>
        <v/>
      </c>
      <c r="AE97" s="10">
        <f>IF(OR($C97="",$D97=""),"",IF(AND(DATE($B$1,1,1)+(27-1)*7&lt;=$D97,DATE($B$1,1,1)+27*7-1&gt;=$C97),1,""))</f>
        <v/>
      </c>
      <c r="AF97" s="10">
        <f>IF(OR($C97="",$D97=""),"",IF(AND(DATE($B$1,1,1)+(28-1)*7&lt;=$D97,DATE($B$1,1,1)+28*7-1&gt;=$C97),1,""))</f>
        <v/>
      </c>
      <c r="AG97" s="10">
        <f>IF(OR($C97="",$D97=""),"",IF(AND(DATE($B$1,1,1)+(29-1)*7&lt;=$D97,DATE($B$1,1,1)+29*7-1&gt;=$C97),1,""))</f>
        <v/>
      </c>
      <c r="AH97" s="10">
        <f>IF(OR($C97="",$D97=""),"",IF(AND(DATE($B$1,1,1)+(30-1)*7&lt;=$D97,DATE($B$1,1,1)+30*7-1&gt;=$C97),1,""))</f>
        <v/>
      </c>
      <c r="AI97" s="10">
        <f>IF(OR($C97="",$D97=""),"",IF(AND(DATE($B$1,1,1)+(31-1)*7&lt;=$D97,DATE($B$1,1,1)+31*7-1&gt;=$C97),1,""))</f>
        <v/>
      </c>
      <c r="AJ97" s="10">
        <f>IF(OR($C97="",$D97=""),"",IF(AND(DATE($B$1,1,1)+(32-1)*7&lt;=$D97,DATE($B$1,1,1)+32*7-1&gt;=$C97),1,""))</f>
        <v/>
      </c>
      <c r="AK97" s="10">
        <f>IF(OR($C97="",$D97=""),"",IF(AND(DATE($B$1,1,1)+(33-1)*7&lt;=$D97,DATE($B$1,1,1)+33*7-1&gt;=$C97),1,""))</f>
        <v/>
      </c>
      <c r="AL97" s="10">
        <f>IF(OR($C97="",$D97=""),"",IF(AND(DATE($B$1,1,1)+(34-1)*7&lt;=$D97,DATE($B$1,1,1)+34*7-1&gt;=$C97),1,""))</f>
        <v/>
      </c>
      <c r="AM97" s="10">
        <f>IF(OR($C97="",$D97=""),"",IF(AND(DATE($B$1,1,1)+(35-1)*7&lt;=$D97,DATE($B$1,1,1)+35*7-1&gt;=$C97),1,""))</f>
        <v/>
      </c>
      <c r="AN97" s="10">
        <f>IF(OR($C97="",$D97=""),"",IF(AND(DATE($B$1,1,1)+(36-1)*7&lt;=$D97,DATE($B$1,1,1)+36*7-1&gt;=$C97),1,""))</f>
        <v/>
      </c>
      <c r="AO97" s="10">
        <f>IF(OR($C97="",$D97=""),"",IF(AND(DATE($B$1,1,1)+(37-1)*7&lt;=$D97,DATE($B$1,1,1)+37*7-1&gt;=$C97),1,""))</f>
        <v/>
      </c>
      <c r="AP97" s="10">
        <f>IF(OR($C97="",$D97=""),"",IF(AND(DATE($B$1,1,1)+(38-1)*7&lt;=$D97,DATE($B$1,1,1)+38*7-1&gt;=$C97),1,""))</f>
        <v/>
      </c>
      <c r="AQ97" s="10">
        <f>IF(OR($C97="",$D97=""),"",IF(AND(DATE($B$1,1,1)+(39-1)*7&lt;=$D97,DATE($B$1,1,1)+39*7-1&gt;=$C97),1,""))</f>
        <v/>
      </c>
      <c r="AR97" s="10">
        <f>IF(OR($C97="",$D97=""),"",IF(AND(DATE($B$1,1,1)+(40-1)*7&lt;=$D97,DATE($B$1,1,1)+40*7-1&gt;=$C97),1,""))</f>
        <v/>
      </c>
      <c r="AS97" s="10">
        <f>IF(OR($C97="",$D97=""),"",IF(AND(DATE($B$1,1,1)+(41-1)*7&lt;=$D97,DATE($B$1,1,1)+41*7-1&gt;=$C97),1,""))</f>
        <v/>
      </c>
      <c r="AT97" s="10">
        <f>IF(OR($C97="",$D97=""),"",IF(AND(DATE($B$1,1,1)+(42-1)*7&lt;=$D97,DATE($B$1,1,1)+42*7-1&gt;=$C97),1,""))</f>
        <v/>
      </c>
      <c r="AU97" s="10">
        <f>IF(OR($C97="",$D97=""),"",IF(AND(DATE($B$1,1,1)+(43-1)*7&lt;=$D97,DATE($B$1,1,1)+43*7-1&gt;=$C97),1,""))</f>
        <v/>
      </c>
      <c r="AV97" s="10">
        <f>IF(OR($C97="",$D97=""),"",IF(AND(DATE($B$1,1,1)+(44-1)*7&lt;=$D97,DATE($B$1,1,1)+44*7-1&gt;=$C97),1,""))</f>
        <v/>
      </c>
      <c r="AW97" s="10">
        <f>IF(OR($C97="",$D97=""),"",IF(AND(DATE($B$1,1,1)+(45-1)*7&lt;=$D97,DATE($B$1,1,1)+45*7-1&gt;=$C97),1,""))</f>
        <v/>
      </c>
      <c r="AX97" s="10">
        <f>IF(OR($C97="",$D97=""),"",IF(AND(DATE($B$1,1,1)+(46-1)*7&lt;=$D97,DATE($B$1,1,1)+46*7-1&gt;=$C97),1,""))</f>
        <v/>
      </c>
      <c r="AY97" s="10">
        <f>IF(OR($C97="",$D97=""),"",IF(AND(DATE($B$1,1,1)+(47-1)*7&lt;=$D97,DATE($B$1,1,1)+47*7-1&gt;=$C97),1,""))</f>
        <v/>
      </c>
      <c r="AZ97" s="10">
        <f>IF(OR($C97="",$D97=""),"",IF(AND(DATE($B$1,1,1)+(48-1)*7&lt;=$D97,DATE($B$1,1,1)+48*7-1&gt;=$C97),1,""))</f>
        <v/>
      </c>
      <c r="BA97" s="10">
        <f>IF(OR($C97="",$D97=""),"",IF(AND(DATE($B$1,1,1)+(49-1)*7&lt;=$D97,DATE($B$1,1,1)+49*7-1&gt;=$C97),1,""))</f>
        <v/>
      </c>
      <c r="BB97" s="10">
        <f>IF(OR($C97="",$D97=""),"",IF(AND(DATE($B$1,1,1)+(50-1)*7&lt;=$D97,DATE($B$1,1,1)+50*7-1&gt;=$C97),1,""))</f>
        <v/>
      </c>
      <c r="BC97" s="10">
        <f>IF(OR($C97="",$D97=""),"",IF(AND(DATE($B$1,1,1)+(51-1)*7&lt;=$D97,DATE($B$1,1,1)+51*7-1&gt;=$C97),1,""))</f>
        <v/>
      </c>
      <c r="BD97" s="10">
        <f>IF(OR($C97="",$D97=""),"",IF(AND(DATE($B$1,1,1)+(52-1)*7&lt;=$D97,DATE($B$1,1,1)+52*7-1&gt;=$C97),1,""))</f>
        <v/>
      </c>
      <c r="BE97" s="10">
        <f>IF(OR($C97="",$D97=""),"",IF(AND(DATE($B$1,1,1)+(53-1)*7&lt;=$D97,DATE($B$1,1,1)+53*7-1&gt;=$C97),1,""))</f>
        <v/>
      </c>
      <c r="BF97" s="10">
        <f>IF(OR($C97="",$D97=""),"",IF(AND(DATE($B$1,1,1)+(54-1)*7&lt;=$D97,DATE($B$1,1,1)+54*7-1&gt;=$C97),1,""))</f>
        <v/>
      </c>
    </row>
    <row r="98">
      <c r="A98" s="6" t="n"/>
      <c r="B98" s="6" t="n"/>
      <c r="C98" s="11" t="n"/>
      <c r="D98" s="11" t="n"/>
      <c r="E98" s="10">
        <f>IF(OR($C98="",$D98=""),"",IF(AND(DATE($B$1,1,1)+(1-1)*7&lt;=$D98,DATE($B$1,1,1)+1*7-1&gt;=$C98),1,""))</f>
        <v/>
      </c>
      <c r="F98" s="10">
        <f>IF(OR($C98="",$D98=""),"",IF(AND(DATE($B$1,1,1)+(2-1)*7&lt;=$D98,DATE($B$1,1,1)+2*7-1&gt;=$C98),1,""))</f>
        <v/>
      </c>
      <c r="G98" s="10">
        <f>IF(OR($C98="",$D98=""),"",IF(AND(DATE($B$1,1,1)+(3-1)*7&lt;=$D98,DATE($B$1,1,1)+3*7-1&gt;=$C98),1,""))</f>
        <v/>
      </c>
      <c r="H98" s="10">
        <f>IF(OR($C98="",$D98=""),"",IF(AND(DATE($B$1,1,1)+(4-1)*7&lt;=$D98,DATE($B$1,1,1)+4*7-1&gt;=$C98),1,""))</f>
        <v/>
      </c>
      <c r="I98" s="10">
        <f>IF(OR($C98="",$D98=""),"",IF(AND(DATE($B$1,1,1)+(5-1)*7&lt;=$D98,DATE($B$1,1,1)+5*7-1&gt;=$C98),1,""))</f>
        <v/>
      </c>
      <c r="J98" s="10">
        <f>IF(OR($C98="",$D98=""),"",IF(AND(DATE($B$1,1,1)+(6-1)*7&lt;=$D98,DATE($B$1,1,1)+6*7-1&gt;=$C98),1,""))</f>
        <v/>
      </c>
      <c r="K98" s="10">
        <f>IF(OR($C98="",$D98=""),"",IF(AND(DATE($B$1,1,1)+(7-1)*7&lt;=$D98,DATE($B$1,1,1)+7*7-1&gt;=$C98),1,""))</f>
        <v/>
      </c>
      <c r="L98" s="10">
        <f>IF(OR($C98="",$D98=""),"",IF(AND(DATE($B$1,1,1)+(8-1)*7&lt;=$D98,DATE($B$1,1,1)+8*7-1&gt;=$C98),1,""))</f>
        <v/>
      </c>
      <c r="M98" s="10">
        <f>IF(OR($C98="",$D98=""),"",IF(AND(DATE($B$1,1,1)+(9-1)*7&lt;=$D98,DATE($B$1,1,1)+9*7-1&gt;=$C98),1,""))</f>
        <v/>
      </c>
      <c r="N98" s="10">
        <f>IF(OR($C98="",$D98=""),"",IF(AND(DATE($B$1,1,1)+(10-1)*7&lt;=$D98,DATE($B$1,1,1)+10*7-1&gt;=$C98),1,""))</f>
        <v/>
      </c>
      <c r="O98" s="10">
        <f>IF(OR($C98="",$D98=""),"",IF(AND(DATE($B$1,1,1)+(11-1)*7&lt;=$D98,DATE($B$1,1,1)+11*7-1&gt;=$C98),1,""))</f>
        <v/>
      </c>
      <c r="P98" s="10">
        <f>IF(OR($C98="",$D98=""),"",IF(AND(DATE($B$1,1,1)+(12-1)*7&lt;=$D98,DATE($B$1,1,1)+12*7-1&gt;=$C98),1,""))</f>
        <v/>
      </c>
      <c r="Q98" s="10">
        <f>IF(OR($C98="",$D98=""),"",IF(AND(DATE($B$1,1,1)+(13-1)*7&lt;=$D98,DATE($B$1,1,1)+13*7-1&gt;=$C98),1,""))</f>
        <v/>
      </c>
      <c r="R98" s="10">
        <f>IF(OR($C98="",$D98=""),"",IF(AND(DATE($B$1,1,1)+(14-1)*7&lt;=$D98,DATE($B$1,1,1)+14*7-1&gt;=$C98),1,""))</f>
        <v/>
      </c>
      <c r="S98" s="10">
        <f>IF(OR($C98="",$D98=""),"",IF(AND(DATE($B$1,1,1)+(15-1)*7&lt;=$D98,DATE($B$1,1,1)+15*7-1&gt;=$C98),1,""))</f>
        <v/>
      </c>
      <c r="T98" s="10">
        <f>IF(OR($C98="",$D98=""),"",IF(AND(DATE($B$1,1,1)+(16-1)*7&lt;=$D98,DATE($B$1,1,1)+16*7-1&gt;=$C98),1,""))</f>
        <v/>
      </c>
      <c r="U98" s="10">
        <f>IF(OR($C98="",$D98=""),"",IF(AND(DATE($B$1,1,1)+(17-1)*7&lt;=$D98,DATE($B$1,1,1)+17*7-1&gt;=$C98),1,""))</f>
        <v/>
      </c>
      <c r="V98" s="10">
        <f>IF(OR($C98="",$D98=""),"",IF(AND(DATE($B$1,1,1)+(18-1)*7&lt;=$D98,DATE($B$1,1,1)+18*7-1&gt;=$C98),1,""))</f>
        <v/>
      </c>
      <c r="W98" s="10">
        <f>IF(OR($C98="",$D98=""),"",IF(AND(DATE($B$1,1,1)+(19-1)*7&lt;=$D98,DATE($B$1,1,1)+19*7-1&gt;=$C98),1,""))</f>
        <v/>
      </c>
      <c r="X98" s="10">
        <f>IF(OR($C98="",$D98=""),"",IF(AND(DATE($B$1,1,1)+(20-1)*7&lt;=$D98,DATE($B$1,1,1)+20*7-1&gt;=$C98),1,""))</f>
        <v/>
      </c>
      <c r="Y98" s="10">
        <f>IF(OR($C98="",$D98=""),"",IF(AND(DATE($B$1,1,1)+(21-1)*7&lt;=$D98,DATE($B$1,1,1)+21*7-1&gt;=$C98),1,""))</f>
        <v/>
      </c>
      <c r="Z98" s="10">
        <f>IF(OR($C98="",$D98=""),"",IF(AND(DATE($B$1,1,1)+(22-1)*7&lt;=$D98,DATE($B$1,1,1)+22*7-1&gt;=$C98),1,""))</f>
        <v/>
      </c>
      <c r="AA98" s="10">
        <f>IF(OR($C98="",$D98=""),"",IF(AND(DATE($B$1,1,1)+(23-1)*7&lt;=$D98,DATE($B$1,1,1)+23*7-1&gt;=$C98),1,""))</f>
        <v/>
      </c>
      <c r="AB98" s="10">
        <f>IF(OR($C98="",$D98=""),"",IF(AND(DATE($B$1,1,1)+(24-1)*7&lt;=$D98,DATE($B$1,1,1)+24*7-1&gt;=$C98),1,""))</f>
        <v/>
      </c>
      <c r="AC98" s="10">
        <f>IF(OR($C98="",$D98=""),"",IF(AND(DATE($B$1,1,1)+(25-1)*7&lt;=$D98,DATE($B$1,1,1)+25*7-1&gt;=$C98),1,""))</f>
        <v/>
      </c>
      <c r="AD98" s="10">
        <f>IF(OR($C98="",$D98=""),"",IF(AND(DATE($B$1,1,1)+(26-1)*7&lt;=$D98,DATE($B$1,1,1)+26*7-1&gt;=$C98),1,""))</f>
        <v/>
      </c>
      <c r="AE98" s="10">
        <f>IF(OR($C98="",$D98=""),"",IF(AND(DATE($B$1,1,1)+(27-1)*7&lt;=$D98,DATE($B$1,1,1)+27*7-1&gt;=$C98),1,""))</f>
        <v/>
      </c>
      <c r="AF98" s="10">
        <f>IF(OR($C98="",$D98=""),"",IF(AND(DATE($B$1,1,1)+(28-1)*7&lt;=$D98,DATE($B$1,1,1)+28*7-1&gt;=$C98),1,""))</f>
        <v/>
      </c>
      <c r="AG98" s="10">
        <f>IF(OR($C98="",$D98=""),"",IF(AND(DATE($B$1,1,1)+(29-1)*7&lt;=$D98,DATE($B$1,1,1)+29*7-1&gt;=$C98),1,""))</f>
        <v/>
      </c>
      <c r="AH98" s="10">
        <f>IF(OR($C98="",$D98=""),"",IF(AND(DATE($B$1,1,1)+(30-1)*7&lt;=$D98,DATE($B$1,1,1)+30*7-1&gt;=$C98),1,""))</f>
        <v/>
      </c>
      <c r="AI98" s="10">
        <f>IF(OR($C98="",$D98=""),"",IF(AND(DATE($B$1,1,1)+(31-1)*7&lt;=$D98,DATE($B$1,1,1)+31*7-1&gt;=$C98),1,""))</f>
        <v/>
      </c>
      <c r="AJ98" s="10">
        <f>IF(OR($C98="",$D98=""),"",IF(AND(DATE($B$1,1,1)+(32-1)*7&lt;=$D98,DATE($B$1,1,1)+32*7-1&gt;=$C98),1,""))</f>
        <v/>
      </c>
      <c r="AK98" s="10">
        <f>IF(OR($C98="",$D98=""),"",IF(AND(DATE($B$1,1,1)+(33-1)*7&lt;=$D98,DATE($B$1,1,1)+33*7-1&gt;=$C98),1,""))</f>
        <v/>
      </c>
      <c r="AL98" s="10">
        <f>IF(OR($C98="",$D98=""),"",IF(AND(DATE($B$1,1,1)+(34-1)*7&lt;=$D98,DATE($B$1,1,1)+34*7-1&gt;=$C98),1,""))</f>
        <v/>
      </c>
      <c r="AM98" s="10">
        <f>IF(OR($C98="",$D98=""),"",IF(AND(DATE($B$1,1,1)+(35-1)*7&lt;=$D98,DATE($B$1,1,1)+35*7-1&gt;=$C98),1,""))</f>
        <v/>
      </c>
      <c r="AN98" s="10">
        <f>IF(OR($C98="",$D98=""),"",IF(AND(DATE($B$1,1,1)+(36-1)*7&lt;=$D98,DATE($B$1,1,1)+36*7-1&gt;=$C98),1,""))</f>
        <v/>
      </c>
      <c r="AO98" s="10">
        <f>IF(OR($C98="",$D98=""),"",IF(AND(DATE($B$1,1,1)+(37-1)*7&lt;=$D98,DATE($B$1,1,1)+37*7-1&gt;=$C98),1,""))</f>
        <v/>
      </c>
      <c r="AP98" s="10">
        <f>IF(OR($C98="",$D98=""),"",IF(AND(DATE($B$1,1,1)+(38-1)*7&lt;=$D98,DATE($B$1,1,1)+38*7-1&gt;=$C98),1,""))</f>
        <v/>
      </c>
      <c r="AQ98" s="10">
        <f>IF(OR($C98="",$D98=""),"",IF(AND(DATE($B$1,1,1)+(39-1)*7&lt;=$D98,DATE($B$1,1,1)+39*7-1&gt;=$C98),1,""))</f>
        <v/>
      </c>
      <c r="AR98" s="10">
        <f>IF(OR($C98="",$D98=""),"",IF(AND(DATE($B$1,1,1)+(40-1)*7&lt;=$D98,DATE($B$1,1,1)+40*7-1&gt;=$C98),1,""))</f>
        <v/>
      </c>
      <c r="AS98" s="10">
        <f>IF(OR($C98="",$D98=""),"",IF(AND(DATE($B$1,1,1)+(41-1)*7&lt;=$D98,DATE($B$1,1,1)+41*7-1&gt;=$C98),1,""))</f>
        <v/>
      </c>
      <c r="AT98" s="10">
        <f>IF(OR($C98="",$D98=""),"",IF(AND(DATE($B$1,1,1)+(42-1)*7&lt;=$D98,DATE($B$1,1,1)+42*7-1&gt;=$C98),1,""))</f>
        <v/>
      </c>
      <c r="AU98" s="10">
        <f>IF(OR($C98="",$D98=""),"",IF(AND(DATE($B$1,1,1)+(43-1)*7&lt;=$D98,DATE($B$1,1,1)+43*7-1&gt;=$C98),1,""))</f>
        <v/>
      </c>
      <c r="AV98" s="10">
        <f>IF(OR($C98="",$D98=""),"",IF(AND(DATE($B$1,1,1)+(44-1)*7&lt;=$D98,DATE($B$1,1,1)+44*7-1&gt;=$C98),1,""))</f>
        <v/>
      </c>
      <c r="AW98" s="10">
        <f>IF(OR($C98="",$D98=""),"",IF(AND(DATE($B$1,1,1)+(45-1)*7&lt;=$D98,DATE($B$1,1,1)+45*7-1&gt;=$C98),1,""))</f>
        <v/>
      </c>
      <c r="AX98" s="10">
        <f>IF(OR($C98="",$D98=""),"",IF(AND(DATE($B$1,1,1)+(46-1)*7&lt;=$D98,DATE($B$1,1,1)+46*7-1&gt;=$C98),1,""))</f>
        <v/>
      </c>
      <c r="AY98" s="10">
        <f>IF(OR($C98="",$D98=""),"",IF(AND(DATE($B$1,1,1)+(47-1)*7&lt;=$D98,DATE($B$1,1,1)+47*7-1&gt;=$C98),1,""))</f>
        <v/>
      </c>
      <c r="AZ98" s="10">
        <f>IF(OR($C98="",$D98=""),"",IF(AND(DATE($B$1,1,1)+(48-1)*7&lt;=$D98,DATE($B$1,1,1)+48*7-1&gt;=$C98),1,""))</f>
        <v/>
      </c>
      <c r="BA98" s="10">
        <f>IF(OR($C98="",$D98=""),"",IF(AND(DATE($B$1,1,1)+(49-1)*7&lt;=$D98,DATE($B$1,1,1)+49*7-1&gt;=$C98),1,""))</f>
        <v/>
      </c>
      <c r="BB98" s="10">
        <f>IF(OR($C98="",$D98=""),"",IF(AND(DATE($B$1,1,1)+(50-1)*7&lt;=$D98,DATE($B$1,1,1)+50*7-1&gt;=$C98),1,""))</f>
        <v/>
      </c>
      <c r="BC98" s="10">
        <f>IF(OR($C98="",$D98=""),"",IF(AND(DATE($B$1,1,1)+(51-1)*7&lt;=$D98,DATE($B$1,1,1)+51*7-1&gt;=$C98),1,""))</f>
        <v/>
      </c>
      <c r="BD98" s="10">
        <f>IF(OR($C98="",$D98=""),"",IF(AND(DATE($B$1,1,1)+(52-1)*7&lt;=$D98,DATE($B$1,1,1)+52*7-1&gt;=$C98),1,""))</f>
        <v/>
      </c>
      <c r="BE98" s="10">
        <f>IF(OR($C98="",$D98=""),"",IF(AND(DATE($B$1,1,1)+(53-1)*7&lt;=$D98,DATE($B$1,1,1)+53*7-1&gt;=$C98),1,""))</f>
        <v/>
      </c>
      <c r="BF98" s="10">
        <f>IF(OR($C98="",$D98=""),"",IF(AND(DATE($B$1,1,1)+(54-1)*7&lt;=$D98,DATE($B$1,1,1)+54*7-1&gt;=$C98),1,""))</f>
        <v/>
      </c>
    </row>
    <row r="99">
      <c r="A99" s="6" t="n"/>
      <c r="B99" s="6" t="n"/>
      <c r="C99" s="11" t="n"/>
      <c r="D99" s="11" t="n"/>
      <c r="E99" s="10">
        <f>IF(OR($C99="",$D99=""),"",IF(AND(DATE($B$1,1,1)+(1-1)*7&lt;=$D99,DATE($B$1,1,1)+1*7-1&gt;=$C99),1,""))</f>
        <v/>
      </c>
      <c r="F99" s="10">
        <f>IF(OR($C99="",$D99=""),"",IF(AND(DATE($B$1,1,1)+(2-1)*7&lt;=$D99,DATE($B$1,1,1)+2*7-1&gt;=$C99),1,""))</f>
        <v/>
      </c>
      <c r="G99" s="10">
        <f>IF(OR($C99="",$D99=""),"",IF(AND(DATE($B$1,1,1)+(3-1)*7&lt;=$D99,DATE($B$1,1,1)+3*7-1&gt;=$C99),1,""))</f>
        <v/>
      </c>
      <c r="H99" s="10">
        <f>IF(OR($C99="",$D99=""),"",IF(AND(DATE($B$1,1,1)+(4-1)*7&lt;=$D99,DATE($B$1,1,1)+4*7-1&gt;=$C99),1,""))</f>
        <v/>
      </c>
      <c r="I99" s="10">
        <f>IF(OR($C99="",$D99=""),"",IF(AND(DATE($B$1,1,1)+(5-1)*7&lt;=$D99,DATE($B$1,1,1)+5*7-1&gt;=$C99),1,""))</f>
        <v/>
      </c>
      <c r="J99" s="10">
        <f>IF(OR($C99="",$D99=""),"",IF(AND(DATE($B$1,1,1)+(6-1)*7&lt;=$D99,DATE($B$1,1,1)+6*7-1&gt;=$C99),1,""))</f>
        <v/>
      </c>
      <c r="K99" s="10">
        <f>IF(OR($C99="",$D99=""),"",IF(AND(DATE($B$1,1,1)+(7-1)*7&lt;=$D99,DATE($B$1,1,1)+7*7-1&gt;=$C99),1,""))</f>
        <v/>
      </c>
      <c r="L99" s="10">
        <f>IF(OR($C99="",$D99=""),"",IF(AND(DATE($B$1,1,1)+(8-1)*7&lt;=$D99,DATE($B$1,1,1)+8*7-1&gt;=$C99),1,""))</f>
        <v/>
      </c>
      <c r="M99" s="10">
        <f>IF(OR($C99="",$D99=""),"",IF(AND(DATE($B$1,1,1)+(9-1)*7&lt;=$D99,DATE($B$1,1,1)+9*7-1&gt;=$C99),1,""))</f>
        <v/>
      </c>
      <c r="N99" s="10">
        <f>IF(OR($C99="",$D99=""),"",IF(AND(DATE($B$1,1,1)+(10-1)*7&lt;=$D99,DATE($B$1,1,1)+10*7-1&gt;=$C99),1,""))</f>
        <v/>
      </c>
      <c r="O99" s="10">
        <f>IF(OR($C99="",$D99=""),"",IF(AND(DATE($B$1,1,1)+(11-1)*7&lt;=$D99,DATE($B$1,1,1)+11*7-1&gt;=$C99),1,""))</f>
        <v/>
      </c>
      <c r="P99" s="10">
        <f>IF(OR($C99="",$D99=""),"",IF(AND(DATE($B$1,1,1)+(12-1)*7&lt;=$D99,DATE($B$1,1,1)+12*7-1&gt;=$C99),1,""))</f>
        <v/>
      </c>
      <c r="Q99" s="10">
        <f>IF(OR($C99="",$D99=""),"",IF(AND(DATE($B$1,1,1)+(13-1)*7&lt;=$D99,DATE($B$1,1,1)+13*7-1&gt;=$C99),1,""))</f>
        <v/>
      </c>
      <c r="R99" s="10">
        <f>IF(OR($C99="",$D99=""),"",IF(AND(DATE($B$1,1,1)+(14-1)*7&lt;=$D99,DATE($B$1,1,1)+14*7-1&gt;=$C99),1,""))</f>
        <v/>
      </c>
      <c r="S99" s="10">
        <f>IF(OR($C99="",$D99=""),"",IF(AND(DATE($B$1,1,1)+(15-1)*7&lt;=$D99,DATE($B$1,1,1)+15*7-1&gt;=$C99),1,""))</f>
        <v/>
      </c>
      <c r="T99" s="10">
        <f>IF(OR($C99="",$D99=""),"",IF(AND(DATE($B$1,1,1)+(16-1)*7&lt;=$D99,DATE($B$1,1,1)+16*7-1&gt;=$C99),1,""))</f>
        <v/>
      </c>
      <c r="U99" s="10">
        <f>IF(OR($C99="",$D99=""),"",IF(AND(DATE($B$1,1,1)+(17-1)*7&lt;=$D99,DATE($B$1,1,1)+17*7-1&gt;=$C99),1,""))</f>
        <v/>
      </c>
      <c r="V99" s="10">
        <f>IF(OR($C99="",$D99=""),"",IF(AND(DATE($B$1,1,1)+(18-1)*7&lt;=$D99,DATE($B$1,1,1)+18*7-1&gt;=$C99),1,""))</f>
        <v/>
      </c>
      <c r="W99" s="10">
        <f>IF(OR($C99="",$D99=""),"",IF(AND(DATE($B$1,1,1)+(19-1)*7&lt;=$D99,DATE($B$1,1,1)+19*7-1&gt;=$C99),1,""))</f>
        <v/>
      </c>
      <c r="X99" s="10">
        <f>IF(OR($C99="",$D99=""),"",IF(AND(DATE($B$1,1,1)+(20-1)*7&lt;=$D99,DATE($B$1,1,1)+20*7-1&gt;=$C99),1,""))</f>
        <v/>
      </c>
      <c r="Y99" s="10">
        <f>IF(OR($C99="",$D99=""),"",IF(AND(DATE($B$1,1,1)+(21-1)*7&lt;=$D99,DATE($B$1,1,1)+21*7-1&gt;=$C99),1,""))</f>
        <v/>
      </c>
      <c r="Z99" s="10">
        <f>IF(OR($C99="",$D99=""),"",IF(AND(DATE($B$1,1,1)+(22-1)*7&lt;=$D99,DATE($B$1,1,1)+22*7-1&gt;=$C99),1,""))</f>
        <v/>
      </c>
      <c r="AA99" s="10">
        <f>IF(OR($C99="",$D99=""),"",IF(AND(DATE($B$1,1,1)+(23-1)*7&lt;=$D99,DATE($B$1,1,1)+23*7-1&gt;=$C99),1,""))</f>
        <v/>
      </c>
      <c r="AB99" s="10">
        <f>IF(OR($C99="",$D99=""),"",IF(AND(DATE($B$1,1,1)+(24-1)*7&lt;=$D99,DATE($B$1,1,1)+24*7-1&gt;=$C99),1,""))</f>
        <v/>
      </c>
      <c r="AC99" s="10">
        <f>IF(OR($C99="",$D99=""),"",IF(AND(DATE($B$1,1,1)+(25-1)*7&lt;=$D99,DATE($B$1,1,1)+25*7-1&gt;=$C99),1,""))</f>
        <v/>
      </c>
      <c r="AD99" s="10">
        <f>IF(OR($C99="",$D99=""),"",IF(AND(DATE($B$1,1,1)+(26-1)*7&lt;=$D99,DATE($B$1,1,1)+26*7-1&gt;=$C99),1,""))</f>
        <v/>
      </c>
      <c r="AE99" s="10">
        <f>IF(OR($C99="",$D99=""),"",IF(AND(DATE($B$1,1,1)+(27-1)*7&lt;=$D99,DATE($B$1,1,1)+27*7-1&gt;=$C99),1,""))</f>
        <v/>
      </c>
      <c r="AF99" s="10">
        <f>IF(OR($C99="",$D99=""),"",IF(AND(DATE($B$1,1,1)+(28-1)*7&lt;=$D99,DATE($B$1,1,1)+28*7-1&gt;=$C99),1,""))</f>
        <v/>
      </c>
      <c r="AG99" s="10">
        <f>IF(OR($C99="",$D99=""),"",IF(AND(DATE($B$1,1,1)+(29-1)*7&lt;=$D99,DATE($B$1,1,1)+29*7-1&gt;=$C99),1,""))</f>
        <v/>
      </c>
      <c r="AH99" s="10">
        <f>IF(OR($C99="",$D99=""),"",IF(AND(DATE($B$1,1,1)+(30-1)*7&lt;=$D99,DATE($B$1,1,1)+30*7-1&gt;=$C99),1,""))</f>
        <v/>
      </c>
      <c r="AI99" s="10">
        <f>IF(OR($C99="",$D99=""),"",IF(AND(DATE($B$1,1,1)+(31-1)*7&lt;=$D99,DATE($B$1,1,1)+31*7-1&gt;=$C99),1,""))</f>
        <v/>
      </c>
      <c r="AJ99" s="10">
        <f>IF(OR($C99="",$D99=""),"",IF(AND(DATE($B$1,1,1)+(32-1)*7&lt;=$D99,DATE($B$1,1,1)+32*7-1&gt;=$C99),1,""))</f>
        <v/>
      </c>
      <c r="AK99" s="10">
        <f>IF(OR($C99="",$D99=""),"",IF(AND(DATE($B$1,1,1)+(33-1)*7&lt;=$D99,DATE($B$1,1,1)+33*7-1&gt;=$C99),1,""))</f>
        <v/>
      </c>
      <c r="AL99" s="10">
        <f>IF(OR($C99="",$D99=""),"",IF(AND(DATE($B$1,1,1)+(34-1)*7&lt;=$D99,DATE($B$1,1,1)+34*7-1&gt;=$C99),1,""))</f>
        <v/>
      </c>
      <c r="AM99" s="10">
        <f>IF(OR($C99="",$D99=""),"",IF(AND(DATE($B$1,1,1)+(35-1)*7&lt;=$D99,DATE($B$1,1,1)+35*7-1&gt;=$C99),1,""))</f>
        <v/>
      </c>
      <c r="AN99" s="10">
        <f>IF(OR($C99="",$D99=""),"",IF(AND(DATE($B$1,1,1)+(36-1)*7&lt;=$D99,DATE($B$1,1,1)+36*7-1&gt;=$C99),1,""))</f>
        <v/>
      </c>
      <c r="AO99" s="10">
        <f>IF(OR($C99="",$D99=""),"",IF(AND(DATE($B$1,1,1)+(37-1)*7&lt;=$D99,DATE($B$1,1,1)+37*7-1&gt;=$C99),1,""))</f>
        <v/>
      </c>
      <c r="AP99" s="10">
        <f>IF(OR($C99="",$D99=""),"",IF(AND(DATE($B$1,1,1)+(38-1)*7&lt;=$D99,DATE($B$1,1,1)+38*7-1&gt;=$C99),1,""))</f>
        <v/>
      </c>
      <c r="AQ99" s="10">
        <f>IF(OR($C99="",$D99=""),"",IF(AND(DATE($B$1,1,1)+(39-1)*7&lt;=$D99,DATE($B$1,1,1)+39*7-1&gt;=$C99),1,""))</f>
        <v/>
      </c>
      <c r="AR99" s="10">
        <f>IF(OR($C99="",$D99=""),"",IF(AND(DATE($B$1,1,1)+(40-1)*7&lt;=$D99,DATE($B$1,1,1)+40*7-1&gt;=$C99),1,""))</f>
        <v/>
      </c>
      <c r="AS99" s="10">
        <f>IF(OR($C99="",$D99=""),"",IF(AND(DATE($B$1,1,1)+(41-1)*7&lt;=$D99,DATE($B$1,1,1)+41*7-1&gt;=$C99),1,""))</f>
        <v/>
      </c>
      <c r="AT99" s="10">
        <f>IF(OR($C99="",$D99=""),"",IF(AND(DATE($B$1,1,1)+(42-1)*7&lt;=$D99,DATE($B$1,1,1)+42*7-1&gt;=$C99),1,""))</f>
        <v/>
      </c>
      <c r="AU99" s="10">
        <f>IF(OR($C99="",$D99=""),"",IF(AND(DATE($B$1,1,1)+(43-1)*7&lt;=$D99,DATE($B$1,1,1)+43*7-1&gt;=$C99),1,""))</f>
        <v/>
      </c>
      <c r="AV99" s="10">
        <f>IF(OR($C99="",$D99=""),"",IF(AND(DATE($B$1,1,1)+(44-1)*7&lt;=$D99,DATE($B$1,1,1)+44*7-1&gt;=$C99),1,""))</f>
        <v/>
      </c>
      <c r="AW99" s="10">
        <f>IF(OR($C99="",$D99=""),"",IF(AND(DATE($B$1,1,1)+(45-1)*7&lt;=$D99,DATE($B$1,1,1)+45*7-1&gt;=$C99),1,""))</f>
        <v/>
      </c>
      <c r="AX99" s="10">
        <f>IF(OR($C99="",$D99=""),"",IF(AND(DATE($B$1,1,1)+(46-1)*7&lt;=$D99,DATE($B$1,1,1)+46*7-1&gt;=$C99),1,""))</f>
        <v/>
      </c>
      <c r="AY99" s="10">
        <f>IF(OR($C99="",$D99=""),"",IF(AND(DATE($B$1,1,1)+(47-1)*7&lt;=$D99,DATE($B$1,1,1)+47*7-1&gt;=$C99),1,""))</f>
        <v/>
      </c>
      <c r="AZ99" s="10">
        <f>IF(OR($C99="",$D99=""),"",IF(AND(DATE($B$1,1,1)+(48-1)*7&lt;=$D99,DATE($B$1,1,1)+48*7-1&gt;=$C99),1,""))</f>
        <v/>
      </c>
      <c r="BA99" s="10">
        <f>IF(OR($C99="",$D99=""),"",IF(AND(DATE($B$1,1,1)+(49-1)*7&lt;=$D99,DATE($B$1,1,1)+49*7-1&gt;=$C99),1,""))</f>
        <v/>
      </c>
      <c r="BB99" s="10">
        <f>IF(OR($C99="",$D99=""),"",IF(AND(DATE($B$1,1,1)+(50-1)*7&lt;=$D99,DATE($B$1,1,1)+50*7-1&gt;=$C99),1,""))</f>
        <v/>
      </c>
      <c r="BC99" s="10">
        <f>IF(OR($C99="",$D99=""),"",IF(AND(DATE($B$1,1,1)+(51-1)*7&lt;=$D99,DATE($B$1,1,1)+51*7-1&gt;=$C99),1,""))</f>
        <v/>
      </c>
      <c r="BD99" s="10">
        <f>IF(OR($C99="",$D99=""),"",IF(AND(DATE($B$1,1,1)+(52-1)*7&lt;=$D99,DATE($B$1,1,1)+52*7-1&gt;=$C99),1,""))</f>
        <v/>
      </c>
      <c r="BE99" s="10">
        <f>IF(OR($C99="",$D99=""),"",IF(AND(DATE($B$1,1,1)+(53-1)*7&lt;=$D99,DATE($B$1,1,1)+53*7-1&gt;=$C99),1,""))</f>
        <v/>
      </c>
      <c r="BF99" s="10">
        <f>IF(OR($C99="",$D99=""),"",IF(AND(DATE($B$1,1,1)+(54-1)*7&lt;=$D99,DATE($B$1,1,1)+54*7-1&gt;=$C99),1,""))</f>
        <v/>
      </c>
    </row>
    <row r="100">
      <c r="A100" s="6" t="n"/>
      <c r="B100" s="6" t="n"/>
      <c r="C100" s="11" t="n"/>
      <c r="D100" s="11" t="n"/>
      <c r="E100" s="10">
        <f>IF(OR($C100="",$D100=""),"",IF(AND(DATE($B$1,1,1)+(1-1)*7&lt;=$D100,DATE($B$1,1,1)+1*7-1&gt;=$C100),1,""))</f>
        <v/>
      </c>
      <c r="F100" s="10">
        <f>IF(OR($C100="",$D100=""),"",IF(AND(DATE($B$1,1,1)+(2-1)*7&lt;=$D100,DATE($B$1,1,1)+2*7-1&gt;=$C100),1,""))</f>
        <v/>
      </c>
      <c r="G100" s="10">
        <f>IF(OR($C100="",$D100=""),"",IF(AND(DATE($B$1,1,1)+(3-1)*7&lt;=$D100,DATE($B$1,1,1)+3*7-1&gt;=$C100),1,""))</f>
        <v/>
      </c>
      <c r="H100" s="10">
        <f>IF(OR($C100="",$D100=""),"",IF(AND(DATE($B$1,1,1)+(4-1)*7&lt;=$D100,DATE($B$1,1,1)+4*7-1&gt;=$C100),1,""))</f>
        <v/>
      </c>
      <c r="I100" s="10">
        <f>IF(OR($C100="",$D100=""),"",IF(AND(DATE($B$1,1,1)+(5-1)*7&lt;=$D100,DATE($B$1,1,1)+5*7-1&gt;=$C100),1,""))</f>
        <v/>
      </c>
      <c r="J100" s="10">
        <f>IF(OR($C100="",$D100=""),"",IF(AND(DATE($B$1,1,1)+(6-1)*7&lt;=$D100,DATE($B$1,1,1)+6*7-1&gt;=$C100),1,""))</f>
        <v/>
      </c>
      <c r="K100" s="10">
        <f>IF(OR($C100="",$D100=""),"",IF(AND(DATE($B$1,1,1)+(7-1)*7&lt;=$D100,DATE($B$1,1,1)+7*7-1&gt;=$C100),1,""))</f>
        <v/>
      </c>
      <c r="L100" s="10">
        <f>IF(OR($C100="",$D100=""),"",IF(AND(DATE($B$1,1,1)+(8-1)*7&lt;=$D100,DATE($B$1,1,1)+8*7-1&gt;=$C100),1,""))</f>
        <v/>
      </c>
      <c r="M100" s="10">
        <f>IF(OR($C100="",$D100=""),"",IF(AND(DATE($B$1,1,1)+(9-1)*7&lt;=$D100,DATE($B$1,1,1)+9*7-1&gt;=$C100),1,""))</f>
        <v/>
      </c>
      <c r="N100" s="10">
        <f>IF(OR($C100="",$D100=""),"",IF(AND(DATE($B$1,1,1)+(10-1)*7&lt;=$D100,DATE($B$1,1,1)+10*7-1&gt;=$C100),1,""))</f>
        <v/>
      </c>
      <c r="O100" s="10">
        <f>IF(OR($C100="",$D100=""),"",IF(AND(DATE($B$1,1,1)+(11-1)*7&lt;=$D100,DATE($B$1,1,1)+11*7-1&gt;=$C100),1,""))</f>
        <v/>
      </c>
      <c r="P100" s="10">
        <f>IF(OR($C100="",$D100=""),"",IF(AND(DATE($B$1,1,1)+(12-1)*7&lt;=$D100,DATE($B$1,1,1)+12*7-1&gt;=$C100),1,""))</f>
        <v/>
      </c>
      <c r="Q100" s="10">
        <f>IF(OR($C100="",$D100=""),"",IF(AND(DATE($B$1,1,1)+(13-1)*7&lt;=$D100,DATE($B$1,1,1)+13*7-1&gt;=$C100),1,""))</f>
        <v/>
      </c>
      <c r="R100" s="10">
        <f>IF(OR($C100="",$D100=""),"",IF(AND(DATE($B$1,1,1)+(14-1)*7&lt;=$D100,DATE($B$1,1,1)+14*7-1&gt;=$C100),1,""))</f>
        <v/>
      </c>
      <c r="S100" s="10">
        <f>IF(OR($C100="",$D100=""),"",IF(AND(DATE($B$1,1,1)+(15-1)*7&lt;=$D100,DATE($B$1,1,1)+15*7-1&gt;=$C100),1,""))</f>
        <v/>
      </c>
      <c r="T100" s="10">
        <f>IF(OR($C100="",$D100=""),"",IF(AND(DATE($B$1,1,1)+(16-1)*7&lt;=$D100,DATE($B$1,1,1)+16*7-1&gt;=$C100),1,""))</f>
        <v/>
      </c>
      <c r="U100" s="10">
        <f>IF(OR($C100="",$D100=""),"",IF(AND(DATE($B$1,1,1)+(17-1)*7&lt;=$D100,DATE($B$1,1,1)+17*7-1&gt;=$C100),1,""))</f>
        <v/>
      </c>
      <c r="V100" s="10">
        <f>IF(OR($C100="",$D100=""),"",IF(AND(DATE($B$1,1,1)+(18-1)*7&lt;=$D100,DATE($B$1,1,1)+18*7-1&gt;=$C100),1,""))</f>
        <v/>
      </c>
      <c r="W100" s="10">
        <f>IF(OR($C100="",$D100=""),"",IF(AND(DATE($B$1,1,1)+(19-1)*7&lt;=$D100,DATE($B$1,1,1)+19*7-1&gt;=$C100),1,""))</f>
        <v/>
      </c>
      <c r="X100" s="10">
        <f>IF(OR($C100="",$D100=""),"",IF(AND(DATE($B$1,1,1)+(20-1)*7&lt;=$D100,DATE($B$1,1,1)+20*7-1&gt;=$C100),1,""))</f>
        <v/>
      </c>
      <c r="Y100" s="10">
        <f>IF(OR($C100="",$D100=""),"",IF(AND(DATE($B$1,1,1)+(21-1)*7&lt;=$D100,DATE($B$1,1,1)+21*7-1&gt;=$C100),1,""))</f>
        <v/>
      </c>
      <c r="Z100" s="10">
        <f>IF(OR($C100="",$D100=""),"",IF(AND(DATE($B$1,1,1)+(22-1)*7&lt;=$D100,DATE($B$1,1,1)+22*7-1&gt;=$C100),1,""))</f>
        <v/>
      </c>
      <c r="AA100" s="10">
        <f>IF(OR($C100="",$D100=""),"",IF(AND(DATE($B$1,1,1)+(23-1)*7&lt;=$D100,DATE($B$1,1,1)+23*7-1&gt;=$C100),1,""))</f>
        <v/>
      </c>
      <c r="AB100" s="10">
        <f>IF(OR($C100="",$D100=""),"",IF(AND(DATE($B$1,1,1)+(24-1)*7&lt;=$D100,DATE($B$1,1,1)+24*7-1&gt;=$C100),1,""))</f>
        <v/>
      </c>
      <c r="AC100" s="10">
        <f>IF(OR($C100="",$D100=""),"",IF(AND(DATE($B$1,1,1)+(25-1)*7&lt;=$D100,DATE($B$1,1,1)+25*7-1&gt;=$C100),1,""))</f>
        <v/>
      </c>
      <c r="AD100" s="10">
        <f>IF(OR($C100="",$D100=""),"",IF(AND(DATE($B$1,1,1)+(26-1)*7&lt;=$D100,DATE($B$1,1,1)+26*7-1&gt;=$C100),1,""))</f>
        <v/>
      </c>
      <c r="AE100" s="10">
        <f>IF(OR($C100="",$D100=""),"",IF(AND(DATE($B$1,1,1)+(27-1)*7&lt;=$D100,DATE($B$1,1,1)+27*7-1&gt;=$C100),1,""))</f>
        <v/>
      </c>
      <c r="AF100" s="10">
        <f>IF(OR($C100="",$D100=""),"",IF(AND(DATE($B$1,1,1)+(28-1)*7&lt;=$D100,DATE($B$1,1,1)+28*7-1&gt;=$C100),1,""))</f>
        <v/>
      </c>
      <c r="AG100" s="10">
        <f>IF(OR($C100="",$D100=""),"",IF(AND(DATE($B$1,1,1)+(29-1)*7&lt;=$D100,DATE($B$1,1,1)+29*7-1&gt;=$C100),1,""))</f>
        <v/>
      </c>
      <c r="AH100" s="10">
        <f>IF(OR($C100="",$D100=""),"",IF(AND(DATE($B$1,1,1)+(30-1)*7&lt;=$D100,DATE($B$1,1,1)+30*7-1&gt;=$C100),1,""))</f>
        <v/>
      </c>
      <c r="AI100" s="10">
        <f>IF(OR($C100="",$D100=""),"",IF(AND(DATE($B$1,1,1)+(31-1)*7&lt;=$D100,DATE($B$1,1,1)+31*7-1&gt;=$C100),1,""))</f>
        <v/>
      </c>
      <c r="AJ100" s="10">
        <f>IF(OR($C100="",$D100=""),"",IF(AND(DATE($B$1,1,1)+(32-1)*7&lt;=$D100,DATE($B$1,1,1)+32*7-1&gt;=$C100),1,""))</f>
        <v/>
      </c>
      <c r="AK100" s="10">
        <f>IF(OR($C100="",$D100=""),"",IF(AND(DATE($B$1,1,1)+(33-1)*7&lt;=$D100,DATE($B$1,1,1)+33*7-1&gt;=$C100),1,""))</f>
        <v/>
      </c>
      <c r="AL100" s="10">
        <f>IF(OR($C100="",$D100=""),"",IF(AND(DATE($B$1,1,1)+(34-1)*7&lt;=$D100,DATE($B$1,1,1)+34*7-1&gt;=$C100),1,""))</f>
        <v/>
      </c>
      <c r="AM100" s="10">
        <f>IF(OR($C100="",$D100=""),"",IF(AND(DATE($B$1,1,1)+(35-1)*7&lt;=$D100,DATE($B$1,1,1)+35*7-1&gt;=$C100),1,""))</f>
        <v/>
      </c>
      <c r="AN100" s="10">
        <f>IF(OR($C100="",$D100=""),"",IF(AND(DATE($B$1,1,1)+(36-1)*7&lt;=$D100,DATE($B$1,1,1)+36*7-1&gt;=$C100),1,""))</f>
        <v/>
      </c>
      <c r="AO100" s="10">
        <f>IF(OR($C100="",$D100=""),"",IF(AND(DATE($B$1,1,1)+(37-1)*7&lt;=$D100,DATE($B$1,1,1)+37*7-1&gt;=$C100),1,""))</f>
        <v/>
      </c>
      <c r="AP100" s="10">
        <f>IF(OR($C100="",$D100=""),"",IF(AND(DATE($B$1,1,1)+(38-1)*7&lt;=$D100,DATE($B$1,1,1)+38*7-1&gt;=$C100),1,""))</f>
        <v/>
      </c>
      <c r="AQ100" s="10">
        <f>IF(OR($C100="",$D100=""),"",IF(AND(DATE($B$1,1,1)+(39-1)*7&lt;=$D100,DATE($B$1,1,1)+39*7-1&gt;=$C100),1,""))</f>
        <v/>
      </c>
      <c r="AR100" s="10">
        <f>IF(OR($C100="",$D100=""),"",IF(AND(DATE($B$1,1,1)+(40-1)*7&lt;=$D100,DATE($B$1,1,1)+40*7-1&gt;=$C100),1,""))</f>
        <v/>
      </c>
      <c r="AS100" s="10">
        <f>IF(OR($C100="",$D100=""),"",IF(AND(DATE($B$1,1,1)+(41-1)*7&lt;=$D100,DATE($B$1,1,1)+41*7-1&gt;=$C100),1,""))</f>
        <v/>
      </c>
      <c r="AT100" s="10">
        <f>IF(OR($C100="",$D100=""),"",IF(AND(DATE($B$1,1,1)+(42-1)*7&lt;=$D100,DATE($B$1,1,1)+42*7-1&gt;=$C100),1,""))</f>
        <v/>
      </c>
      <c r="AU100" s="10">
        <f>IF(OR($C100="",$D100=""),"",IF(AND(DATE($B$1,1,1)+(43-1)*7&lt;=$D100,DATE($B$1,1,1)+43*7-1&gt;=$C100),1,""))</f>
        <v/>
      </c>
      <c r="AV100" s="10">
        <f>IF(OR($C100="",$D100=""),"",IF(AND(DATE($B$1,1,1)+(44-1)*7&lt;=$D100,DATE($B$1,1,1)+44*7-1&gt;=$C100),1,""))</f>
        <v/>
      </c>
      <c r="AW100" s="10">
        <f>IF(OR($C100="",$D100=""),"",IF(AND(DATE($B$1,1,1)+(45-1)*7&lt;=$D100,DATE($B$1,1,1)+45*7-1&gt;=$C100),1,""))</f>
        <v/>
      </c>
      <c r="AX100" s="10">
        <f>IF(OR($C100="",$D100=""),"",IF(AND(DATE($B$1,1,1)+(46-1)*7&lt;=$D100,DATE($B$1,1,1)+46*7-1&gt;=$C100),1,""))</f>
        <v/>
      </c>
      <c r="AY100" s="10">
        <f>IF(OR($C100="",$D100=""),"",IF(AND(DATE($B$1,1,1)+(47-1)*7&lt;=$D100,DATE($B$1,1,1)+47*7-1&gt;=$C100),1,""))</f>
        <v/>
      </c>
      <c r="AZ100" s="10">
        <f>IF(OR($C100="",$D100=""),"",IF(AND(DATE($B$1,1,1)+(48-1)*7&lt;=$D100,DATE($B$1,1,1)+48*7-1&gt;=$C100),1,""))</f>
        <v/>
      </c>
      <c r="BA100" s="10">
        <f>IF(OR($C100="",$D100=""),"",IF(AND(DATE($B$1,1,1)+(49-1)*7&lt;=$D100,DATE($B$1,1,1)+49*7-1&gt;=$C100),1,""))</f>
        <v/>
      </c>
      <c r="BB100" s="10">
        <f>IF(OR($C100="",$D100=""),"",IF(AND(DATE($B$1,1,1)+(50-1)*7&lt;=$D100,DATE($B$1,1,1)+50*7-1&gt;=$C100),1,""))</f>
        <v/>
      </c>
      <c r="BC100" s="10">
        <f>IF(OR($C100="",$D100=""),"",IF(AND(DATE($B$1,1,1)+(51-1)*7&lt;=$D100,DATE($B$1,1,1)+51*7-1&gt;=$C100),1,""))</f>
        <v/>
      </c>
      <c r="BD100" s="10">
        <f>IF(OR($C100="",$D100=""),"",IF(AND(DATE($B$1,1,1)+(52-1)*7&lt;=$D100,DATE($B$1,1,1)+52*7-1&gt;=$C100),1,""))</f>
        <v/>
      </c>
      <c r="BE100" s="10">
        <f>IF(OR($C100="",$D100=""),"",IF(AND(DATE($B$1,1,1)+(53-1)*7&lt;=$D100,DATE($B$1,1,1)+53*7-1&gt;=$C100),1,""))</f>
        <v/>
      </c>
      <c r="BF100" s="10">
        <f>IF(OR($C100="",$D100=""),"",IF(AND(DATE($B$1,1,1)+(54-1)*7&lt;=$D100,DATE($B$1,1,1)+54*7-1&gt;=$C100),1,""))</f>
        <v/>
      </c>
    </row>
    <row r="101">
      <c r="A101" s="6" t="n"/>
      <c r="B101" s="6" t="n"/>
      <c r="C101" s="11" t="n"/>
      <c r="D101" s="11" t="n"/>
      <c r="E101" s="10">
        <f>IF(OR($C101="",$D101=""),"",IF(AND(DATE($B$1,1,1)+(1-1)*7&lt;=$D101,DATE($B$1,1,1)+1*7-1&gt;=$C101),1,""))</f>
        <v/>
      </c>
      <c r="F101" s="10">
        <f>IF(OR($C101="",$D101=""),"",IF(AND(DATE($B$1,1,1)+(2-1)*7&lt;=$D101,DATE($B$1,1,1)+2*7-1&gt;=$C101),1,""))</f>
        <v/>
      </c>
      <c r="G101" s="10">
        <f>IF(OR($C101="",$D101=""),"",IF(AND(DATE($B$1,1,1)+(3-1)*7&lt;=$D101,DATE($B$1,1,1)+3*7-1&gt;=$C101),1,""))</f>
        <v/>
      </c>
      <c r="H101" s="10">
        <f>IF(OR($C101="",$D101=""),"",IF(AND(DATE($B$1,1,1)+(4-1)*7&lt;=$D101,DATE($B$1,1,1)+4*7-1&gt;=$C101),1,""))</f>
        <v/>
      </c>
      <c r="I101" s="10">
        <f>IF(OR($C101="",$D101=""),"",IF(AND(DATE($B$1,1,1)+(5-1)*7&lt;=$D101,DATE($B$1,1,1)+5*7-1&gt;=$C101),1,""))</f>
        <v/>
      </c>
      <c r="J101" s="10">
        <f>IF(OR($C101="",$D101=""),"",IF(AND(DATE($B$1,1,1)+(6-1)*7&lt;=$D101,DATE($B$1,1,1)+6*7-1&gt;=$C101),1,""))</f>
        <v/>
      </c>
      <c r="K101" s="10">
        <f>IF(OR($C101="",$D101=""),"",IF(AND(DATE($B$1,1,1)+(7-1)*7&lt;=$D101,DATE($B$1,1,1)+7*7-1&gt;=$C101),1,""))</f>
        <v/>
      </c>
      <c r="L101" s="10">
        <f>IF(OR($C101="",$D101=""),"",IF(AND(DATE($B$1,1,1)+(8-1)*7&lt;=$D101,DATE($B$1,1,1)+8*7-1&gt;=$C101),1,""))</f>
        <v/>
      </c>
      <c r="M101" s="10">
        <f>IF(OR($C101="",$D101=""),"",IF(AND(DATE($B$1,1,1)+(9-1)*7&lt;=$D101,DATE($B$1,1,1)+9*7-1&gt;=$C101),1,""))</f>
        <v/>
      </c>
      <c r="N101" s="10">
        <f>IF(OR($C101="",$D101=""),"",IF(AND(DATE($B$1,1,1)+(10-1)*7&lt;=$D101,DATE($B$1,1,1)+10*7-1&gt;=$C101),1,""))</f>
        <v/>
      </c>
      <c r="O101" s="10">
        <f>IF(OR($C101="",$D101=""),"",IF(AND(DATE($B$1,1,1)+(11-1)*7&lt;=$D101,DATE($B$1,1,1)+11*7-1&gt;=$C101),1,""))</f>
        <v/>
      </c>
      <c r="P101" s="10">
        <f>IF(OR($C101="",$D101=""),"",IF(AND(DATE($B$1,1,1)+(12-1)*7&lt;=$D101,DATE($B$1,1,1)+12*7-1&gt;=$C101),1,""))</f>
        <v/>
      </c>
      <c r="Q101" s="10">
        <f>IF(OR($C101="",$D101=""),"",IF(AND(DATE($B$1,1,1)+(13-1)*7&lt;=$D101,DATE($B$1,1,1)+13*7-1&gt;=$C101),1,""))</f>
        <v/>
      </c>
      <c r="R101" s="10">
        <f>IF(OR($C101="",$D101=""),"",IF(AND(DATE($B$1,1,1)+(14-1)*7&lt;=$D101,DATE($B$1,1,1)+14*7-1&gt;=$C101),1,""))</f>
        <v/>
      </c>
      <c r="S101" s="10">
        <f>IF(OR($C101="",$D101=""),"",IF(AND(DATE($B$1,1,1)+(15-1)*7&lt;=$D101,DATE($B$1,1,1)+15*7-1&gt;=$C101),1,""))</f>
        <v/>
      </c>
      <c r="T101" s="10">
        <f>IF(OR($C101="",$D101=""),"",IF(AND(DATE($B$1,1,1)+(16-1)*7&lt;=$D101,DATE($B$1,1,1)+16*7-1&gt;=$C101),1,""))</f>
        <v/>
      </c>
      <c r="U101" s="10">
        <f>IF(OR($C101="",$D101=""),"",IF(AND(DATE($B$1,1,1)+(17-1)*7&lt;=$D101,DATE($B$1,1,1)+17*7-1&gt;=$C101),1,""))</f>
        <v/>
      </c>
      <c r="V101" s="10">
        <f>IF(OR($C101="",$D101=""),"",IF(AND(DATE($B$1,1,1)+(18-1)*7&lt;=$D101,DATE($B$1,1,1)+18*7-1&gt;=$C101),1,""))</f>
        <v/>
      </c>
      <c r="W101" s="10">
        <f>IF(OR($C101="",$D101=""),"",IF(AND(DATE($B$1,1,1)+(19-1)*7&lt;=$D101,DATE($B$1,1,1)+19*7-1&gt;=$C101),1,""))</f>
        <v/>
      </c>
      <c r="X101" s="10">
        <f>IF(OR($C101="",$D101=""),"",IF(AND(DATE($B$1,1,1)+(20-1)*7&lt;=$D101,DATE($B$1,1,1)+20*7-1&gt;=$C101),1,""))</f>
        <v/>
      </c>
      <c r="Y101" s="10">
        <f>IF(OR($C101="",$D101=""),"",IF(AND(DATE($B$1,1,1)+(21-1)*7&lt;=$D101,DATE($B$1,1,1)+21*7-1&gt;=$C101),1,""))</f>
        <v/>
      </c>
      <c r="Z101" s="10">
        <f>IF(OR($C101="",$D101=""),"",IF(AND(DATE($B$1,1,1)+(22-1)*7&lt;=$D101,DATE($B$1,1,1)+22*7-1&gt;=$C101),1,""))</f>
        <v/>
      </c>
      <c r="AA101" s="10">
        <f>IF(OR($C101="",$D101=""),"",IF(AND(DATE($B$1,1,1)+(23-1)*7&lt;=$D101,DATE($B$1,1,1)+23*7-1&gt;=$C101),1,""))</f>
        <v/>
      </c>
      <c r="AB101" s="10">
        <f>IF(OR($C101="",$D101=""),"",IF(AND(DATE($B$1,1,1)+(24-1)*7&lt;=$D101,DATE($B$1,1,1)+24*7-1&gt;=$C101),1,""))</f>
        <v/>
      </c>
      <c r="AC101" s="10">
        <f>IF(OR($C101="",$D101=""),"",IF(AND(DATE($B$1,1,1)+(25-1)*7&lt;=$D101,DATE($B$1,1,1)+25*7-1&gt;=$C101),1,""))</f>
        <v/>
      </c>
      <c r="AD101" s="10">
        <f>IF(OR($C101="",$D101=""),"",IF(AND(DATE($B$1,1,1)+(26-1)*7&lt;=$D101,DATE($B$1,1,1)+26*7-1&gt;=$C101),1,""))</f>
        <v/>
      </c>
      <c r="AE101" s="10">
        <f>IF(OR($C101="",$D101=""),"",IF(AND(DATE($B$1,1,1)+(27-1)*7&lt;=$D101,DATE($B$1,1,1)+27*7-1&gt;=$C101),1,""))</f>
        <v/>
      </c>
      <c r="AF101" s="10">
        <f>IF(OR($C101="",$D101=""),"",IF(AND(DATE($B$1,1,1)+(28-1)*7&lt;=$D101,DATE($B$1,1,1)+28*7-1&gt;=$C101),1,""))</f>
        <v/>
      </c>
      <c r="AG101" s="10">
        <f>IF(OR($C101="",$D101=""),"",IF(AND(DATE($B$1,1,1)+(29-1)*7&lt;=$D101,DATE($B$1,1,1)+29*7-1&gt;=$C101),1,""))</f>
        <v/>
      </c>
      <c r="AH101" s="10">
        <f>IF(OR($C101="",$D101=""),"",IF(AND(DATE($B$1,1,1)+(30-1)*7&lt;=$D101,DATE($B$1,1,1)+30*7-1&gt;=$C101),1,""))</f>
        <v/>
      </c>
      <c r="AI101" s="10">
        <f>IF(OR($C101="",$D101=""),"",IF(AND(DATE($B$1,1,1)+(31-1)*7&lt;=$D101,DATE($B$1,1,1)+31*7-1&gt;=$C101),1,""))</f>
        <v/>
      </c>
      <c r="AJ101" s="10">
        <f>IF(OR($C101="",$D101=""),"",IF(AND(DATE($B$1,1,1)+(32-1)*7&lt;=$D101,DATE($B$1,1,1)+32*7-1&gt;=$C101),1,""))</f>
        <v/>
      </c>
      <c r="AK101" s="10">
        <f>IF(OR($C101="",$D101=""),"",IF(AND(DATE($B$1,1,1)+(33-1)*7&lt;=$D101,DATE($B$1,1,1)+33*7-1&gt;=$C101),1,""))</f>
        <v/>
      </c>
      <c r="AL101" s="10">
        <f>IF(OR($C101="",$D101=""),"",IF(AND(DATE($B$1,1,1)+(34-1)*7&lt;=$D101,DATE($B$1,1,1)+34*7-1&gt;=$C101),1,""))</f>
        <v/>
      </c>
      <c r="AM101" s="10">
        <f>IF(OR($C101="",$D101=""),"",IF(AND(DATE($B$1,1,1)+(35-1)*7&lt;=$D101,DATE($B$1,1,1)+35*7-1&gt;=$C101),1,""))</f>
        <v/>
      </c>
      <c r="AN101" s="10">
        <f>IF(OR($C101="",$D101=""),"",IF(AND(DATE($B$1,1,1)+(36-1)*7&lt;=$D101,DATE($B$1,1,1)+36*7-1&gt;=$C101),1,""))</f>
        <v/>
      </c>
      <c r="AO101" s="10">
        <f>IF(OR($C101="",$D101=""),"",IF(AND(DATE($B$1,1,1)+(37-1)*7&lt;=$D101,DATE($B$1,1,1)+37*7-1&gt;=$C101),1,""))</f>
        <v/>
      </c>
      <c r="AP101" s="10">
        <f>IF(OR($C101="",$D101=""),"",IF(AND(DATE($B$1,1,1)+(38-1)*7&lt;=$D101,DATE($B$1,1,1)+38*7-1&gt;=$C101),1,""))</f>
        <v/>
      </c>
      <c r="AQ101" s="10">
        <f>IF(OR($C101="",$D101=""),"",IF(AND(DATE($B$1,1,1)+(39-1)*7&lt;=$D101,DATE($B$1,1,1)+39*7-1&gt;=$C101),1,""))</f>
        <v/>
      </c>
      <c r="AR101" s="10">
        <f>IF(OR($C101="",$D101=""),"",IF(AND(DATE($B$1,1,1)+(40-1)*7&lt;=$D101,DATE($B$1,1,1)+40*7-1&gt;=$C101),1,""))</f>
        <v/>
      </c>
      <c r="AS101" s="10">
        <f>IF(OR($C101="",$D101=""),"",IF(AND(DATE($B$1,1,1)+(41-1)*7&lt;=$D101,DATE($B$1,1,1)+41*7-1&gt;=$C101),1,""))</f>
        <v/>
      </c>
      <c r="AT101" s="10">
        <f>IF(OR($C101="",$D101=""),"",IF(AND(DATE($B$1,1,1)+(42-1)*7&lt;=$D101,DATE($B$1,1,1)+42*7-1&gt;=$C101),1,""))</f>
        <v/>
      </c>
      <c r="AU101" s="10">
        <f>IF(OR($C101="",$D101=""),"",IF(AND(DATE($B$1,1,1)+(43-1)*7&lt;=$D101,DATE($B$1,1,1)+43*7-1&gt;=$C101),1,""))</f>
        <v/>
      </c>
      <c r="AV101" s="10">
        <f>IF(OR($C101="",$D101=""),"",IF(AND(DATE($B$1,1,1)+(44-1)*7&lt;=$D101,DATE($B$1,1,1)+44*7-1&gt;=$C101),1,""))</f>
        <v/>
      </c>
      <c r="AW101" s="10">
        <f>IF(OR($C101="",$D101=""),"",IF(AND(DATE($B$1,1,1)+(45-1)*7&lt;=$D101,DATE($B$1,1,1)+45*7-1&gt;=$C101),1,""))</f>
        <v/>
      </c>
      <c r="AX101" s="10">
        <f>IF(OR($C101="",$D101=""),"",IF(AND(DATE($B$1,1,1)+(46-1)*7&lt;=$D101,DATE($B$1,1,1)+46*7-1&gt;=$C101),1,""))</f>
        <v/>
      </c>
      <c r="AY101" s="10">
        <f>IF(OR($C101="",$D101=""),"",IF(AND(DATE($B$1,1,1)+(47-1)*7&lt;=$D101,DATE($B$1,1,1)+47*7-1&gt;=$C101),1,""))</f>
        <v/>
      </c>
      <c r="AZ101" s="10">
        <f>IF(OR($C101="",$D101=""),"",IF(AND(DATE($B$1,1,1)+(48-1)*7&lt;=$D101,DATE($B$1,1,1)+48*7-1&gt;=$C101),1,""))</f>
        <v/>
      </c>
      <c r="BA101" s="10">
        <f>IF(OR($C101="",$D101=""),"",IF(AND(DATE($B$1,1,1)+(49-1)*7&lt;=$D101,DATE($B$1,1,1)+49*7-1&gt;=$C101),1,""))</f>
        <v/>
      </c>
      <c r="BB101" s="10">
        <f>IF(OR($C101="",$D101=""),"",IF(AND(DATE($B$1,1,1)+(50-1)*7&lt;=$D101,DATE($B$1,1,1)+50*7-1&gt;=$C101),1,""))</f>
        <v/>
      </c>
      <c r="BC101" s="10">
        <f>IF(OR($C101="",$D101=""),"",IF(AND(DATE($B$1,1,1)+(51-1)*7&lt;=$D101,DATE($B$1,1,1)+51*7-1&gt;=$C101),1,""))</f>
        <v/>
      </c>
      <c r="BD101" s="10">
        <f>IF(OR($C101="",$D101=""),"",IF(AND(DATE($B$1,1,1)+(52-1)*7&lt;=$D101,DATE($B$1,1,1)+52*7-1&gt;=$C101),1,""))</f>
        <v/>
      </c>
      <c r="BE101" s="10">
        <f>IF(OR($C101="",$D101=""),"",IF(AND(DATE($B$1,1,1)+(53-1)*7&lt;=$D101,DATE($B$1,1,1)+53*7-1&gt;=$C101),1,""))</f>
        <v/>
      </c>
      <c r="BF101" s="10">
        <f>IF(OR($C101="",$D101=""),"",IF(AND(DATE($B$1,1,1)+(54-1)*7&lt;=$D101,DATE($B$1,1,1)+54*7-1&gt;=$C101),1,""))</f>
        <v/>
      </c>
    </row>
    <row r="102">
      <c r="A102" s="6" t="n"/>
      <c r="B102" s="6" t="n"/>
      <c r="C102" s="11" t="n"/>
      <c r="D102" s="11" t="n"/>
      <c r="E102" s="10">
        <f>IF(OR($C102="",$D102=""),"",IF(AND(DATE($B$1,1,1)+(1-1)*7&lt;=$D102,DATE($B$1,1,1)+1*7-1&gt;=$C102),1,""))</f>
        <v/>
      </c>
      <c r="F102" s="10">
        <f>IF(OR($C102="",$D102=""),"",IF(AND(DATE($B$1,1,1)+(2-1)*7&lt;=$D102,DATE($B$1,1,1)+2*7-1&gt;=$C102),1,""))</f>
        <v/>
      </c>
      <c r="G102" s="10">
        <f>IF(OR($C102="",$D102=""),"",IF(AND(DATE($B$1,1,1)+(3-1)*7&lt;=$D102,DATE($B$1,1,1)+3*7-1&gt;=$C102),1,""))</f>
        <v/>
      </c>
      <c r="H102" s="10">
        <f>IF(OR($C102="",$D102=""),"",IF(AND(DATE($B$1,1,1)+(4-1)*7&lt;=$D102,DATE($B$1,1,1)+4*7-1&gt;=$C102),1,""))</f>
        <v/>
      </c>
      <c r="I102" s="10">
        <f>IF(OR($C102="",$D102=""),"",IF(AND(DATE($B$1,1,1)+(5-1)*7&lt;=$D102,DATE($B$1,1,1)+5*7-1&gt;=$C102),1,""))</f>
        <v/>
      </c>
      <c r="J102" s="10">
        <f>IF(OR($C102="",$D102=""),"",IF(AND(DATE($B$1,1,1)+(6-1)*7&lt;=$D102,DATE($B$1,1,1)+6*7-1&gt;=$C102),1,""))</f>
        <v/>
      </c>
      <c r="K102" s="10">
        <f>IF(OR($C102="",$D102=""),"",IF(AND(DATE($B$1,1,1)+(7-1)*7&lt;=$D102,DATE($B$1,1,1)+7*7-1&gt;=$C102),1,""))</f>
        <v/>
      </c>
      <c r="L102" s="10">
        <f>IF(OR($C102="",$D102=""),"",IF(AND(DATE($B$1,1,1)+(8-1)*7&lt;=$D102,DATE($B$1,1,1)+8*7-1&gt;=$C102),1,""))</f>
        <v/>
      </c>
      <c r="M102" s="10">
        <f>IF(OR($C102="",$D102=""),"",IF(AND(DATE($B$1,1,1)+(9-1)*7&lt;=$D102,DATE($B$1,1,1)+9*7-1&gt;=$C102),1,""))</f>
        <v/>
      </c>
      <c r="N102" s="10">
        <f>IF(OR($C102="",$D102=""),"",IF(AND(DATE($B$1,1,1)+(10-1)*7&lt;=$D102,DATE($B$1,1,1)+10*7-1&gt;=$C102),1,""))</f>
        <v/>
      </c>
      <c r="O102" s="10">
        <f>IF(OR($C102="",$D102=""),"",IF(AND(DATE($B$1,1,1)+(11-1)*7&lt;=$D102,DATE($B$1,1,1)+11*7-1&gt;=$C102),1,""))</f>
        <v/>
      </c>
      <c r="P102" s="10">
        <f>IF(OR($C102="",$D102=""),"",IF(AND(DATE($B$1,1,1)+(12-1)*7&lt;=$D102,DATE($B$1,1,1)+12*7-1&gt;=$C102),1,""))</f>
        <v/>
      </c>
      <c r="Q102" s="10">
        <f>IF(OR($C102="",$D102=""),"",IF(AND(DATE($B$1,1,1)+(13-1)*7&lt;=$D102,DATE($B$1,1,1)+13*7-1&gt;=$C102),1,""))</f>
        <v/>
      </c>
      <c r="R102" s="10">
        <f>IF(OR($C102="",$D102=""),"",IF(AND(DATE($B$1,1,1)+(14-1)*7&lt;=$D102,DATE($B$1,1,1)+14*7-1&gt;=$C102),1,""))</f>
        <v/>
      </c>
      <c r="S102" s="10">
        <f>IF(OR($C102="",$D102=""),"",IF(AND(DATE($B$1,1,1)+(15-1)*7&lt;=$D102,DATE($B$1,1,1)+15*7-1&gt;=$C102),1,""))</f>
        <v/>
      </c>
      <c r="T102" s="10">
        <f>IF(OR($C102="",$D102=""),"",IF(AND(DATE($B$1,1,1)+(16-1)*7&lt;=$D102,DATE($B$1,1,1)+16*7-1&gt;=$C102),1,""))</f>
        <v/>
      </c>
      <c r="U102" s="10">
        <f>IF(OR($C102="",$D102=""),"",IF(AND(DATE($B$1,1,1)+(17-1)*7&lt;=$D102,DATE($B$1,1,1)+17*7-1&gt;=$C102),1,""))</f>
        <v/>
      </c>
      <c r="V102" s="10">
        <f>IF(OR($C102="",$D102=""),"",IF(AND(DATE($B$1,1,1)+(18-1)*7&lt;=$D102,DATE($B$1,1,1)+18*7-1&gt;=$C102),1,""))</f>
        <v/>
      </c>
      <c r="W102" s="10">
        <f>IF(OR($C102="",$D102=""),"",IF(AND(DATE($B$1,1,1)+(19-1)*7&lt;=$D102,DATE($B$1,1,1)+19*7-1&gt;=$C102),1,""))</f>
        <v/>
      </c>
      <c r="X102" s="10">
        <f>IF(OR($C102="",$D102=""),"",IF(AND(DATE($B$1,1,1)+(20-1)*7&lt;=$D102,DATE($B$1,1,1)+20*7-1&gt;=$C102),1,""))</f>
        <v/>
      </c>
      <c r="Y102" s="10">
        <f>IF(OR($C102="",$D102=""),"",IF(AND(DATE($B$1,1,1)+(21-1)*7&lt;=$D102,DATE($B$1,1,1)+21*7-1&gt;=$C102),1,""))</f>
        <v/>
      </c>
      <c r="Z102" s="10">
        <f>IF(OR($C102="",$D102=""),"",IF(AND(DATE($B$1,1,1)+(22-1)*7&lt;=$D102,DATE($B$1,1,1)+22*7-1&gt;=$C102),1,""))</f>
        <v/>
      </c>
      <c r="AA102" s="10">
        <f>IF(OR($C102="",$D102=""),"",IF(AND(DATE($B$1,1,1)+(23-1)*7&lt;=$D102,DATE($B$1,1,1)+23*7-1&gt;=$C102),1,""))</f>
        <v/>
      </c>
      <c r="AB102" s="10">
        <f>IF(OR($C102="",$D102=""),"",IF(AND(DATE($B$1,1,1)+(24-1)*7&lt;=$D102,DATE($B$1,1,1)+24*7-1&gt;=$C102),1,""))</f>
        <v/>
      </c>
      <c r="AC102" s="10">
        <f>IF(OR($C102="",$D102=""),"",IF(AND(DATE($B$1,1,1)+(25-1)*7&lt;=$D102,DATE($B$1,1,1)+25*7-1&gt;=$C102),1,""))</f>
        <v/>
      </c>
      <c r="AD102" s="10">
        <f>IF(OR($C102="",$D102=""),"",IF(AND(DATE($B$1,1,1)+(26-1)*7&lt;=$D102,DATE($B$1,1,1)+26*7-1&gt;=$C102),1,""))</f>
        <v/>
      </c>
      <c r="AE102" s="10">
        <f>IF(OR($C102="",$D102=""),"",IF(AND(DATE($B$1,1,1)+(27-1)*7&lt;=$D102,DATE($B$1,1,1)+27*7-1&gt;=$C102),1,""))</f>
        <v/>
      </c>
      <c r="AF102" s="10">
        <f>IF(OR($C102="",$D102=""),"",IF(AND(DATE($B$1,1,1)+(28-1)*7&lt;=$D102,DATE($B$1,1,1)+28*7-1&gt;=$C102),1,""))</f>
        <v/>
      </c>
      <c r="AG102" s="10">
        <f>IF(OR($C102="",$D102=""),"",IF(AND(DATE($B$1,1,1)+(29-1)*7&lt;=$D102,DATE($B$1,1,1)+29*7-1&gt;=$C102),1,""))</f>
        <v/>
      </c>
      <c r="AH102" s="10">
        <f>IF(OR($C102="",$D102=""),"",IF(AND(DATE($B$1,1,1)+(30-1)*7&lt;=$D102,DATE($B$1,1,1)+30*7-1&gt;=$C102),1,""))</f>
        <v/>
      </c>
      <c r="AI102" s="10">
        <f>IF(OR($C102="",$D102=""),"",IF(AND(DATE($B$1,1,1)+(31-1)*7&lt;=$D102,DATE($B$1,1,1)+31*7-1&gt;=$C102),1,""))</f>
        <v/>
      </c>
      <c r="AJ102" s="10">
        <f>IF(OR($C102="",$D102=""),"",IF(AND(DATE($B$1,1,1)+(32-1)*7&lt;=$D102,DATE($B$1,1,1)+32*7-1&gt;=$C102),1,""))</f>
        <v/>
      </c>
      <c r="AK102" s="10">
        <f>IF(OR($C102="",$D102=""),"",IF(AND(DATE($B$1,1,1)+(33-1)*7&lt;=$D102,DATE($B$1,1,1)+33*7-1&gt;=$C102),1,""))</f>
        <v/>
      </c>
      <c r="AL102" s="10">
        <f>IF(OR($C102="",$D102=""),"",IF(AND(DATE($B$1,1,1)+(34-1)*7&lt;=$D102,DATE($B$1,1,1)+34*7-1&gt;=$C102),1,""))</f>
        <v/>
      </c>
      <c r="AM102" s="10">
        <f>IF(OR($C102="",$D102=""),"",IF(AND(DATE($B$1,1,1)+(35-1)*7&lt;=$D102,DATE($B$1,1,1)+35*7-1&gt;=$C102),1,""))</f>
        <v/>
      </c>
      <c r="AN102" s="10">
        <f>IF(OR($C102="",$D102=""),"",IF(AND(DATE($B$1,1,1)+(36-1)*7&lt;=$D102,DATE($B$1,1,1)+36*7-1&gt;=$C102),1,""))</f>
        <v/>
      </c>
      <c r="AO102" s="10">
        <f>IF(OR($C102="",$D102=""),"",IF(AND(DATE($B$1,1,1)+(37-1)*7&lt;=$D102,DATE($B$1,1,1)+37*7-1&gt;=$C102),1,""))</f>
        <v/>
      </c>
      <c r="AP102" s="10">
        <f>IF(OR($C102="",$D102=""),"",IF(AND(DATE($B$1,1,1)+(38-1)*7&lt;=$D102,DATE($B$1,1,1)+38*7-1&gt;=$C102),1,""))</f>
        <v/>
      </c>
      <c r="AQ102" s="10">
        <f>IF(OR($C102="",$D102=""),"",IF(AND(DATE($B$1,1,1)+(39-1)*7&lt;=$D102,DATE($B$1,1,1)+39*7-1&gt;=$C102),1,""))</f>
        <v/>
      </c>
      <c r="AR102" s="10">
        <f>IF(OR($C102="",$D102=""),"",IF(AND(DATE($B$1,1,1)+(40-1)*7&lt;=$D102,DATE($B$1,1,1)+40*7-1&gt;=$C102),1,""))</f>
        <v/>
      </c>
      <c r="AS102" s="10">
        <f>IF(OR($C102="",$D102=""),"",IF(AND(DATE($B$1,1,1)+(41-1)*7&lt;=$D102,DATE($B$1,1,1)+41*7-1&gt;=$C102),1,""))</f>
        <v/>
      </c>
      <c r="AT102" s="10">
        <f>IF(OR($C102="",$D102=""),"",IF(AND(DATE($B$1,1,1)+(42-1)*7&lt;=$D102,DATE($B$1,1,1)+42*7-1&gt;=$C102),1,""))</f>
        <v/>
      </c>
      <c r="AU102" s="10">
        <f>IF(OR($C102="",$D102=""),"",IF(AND(DATE($B$1,1,1)+(43-1)*7&lt;=$D102,DATE($B$1,1,1)+43*7-1&gt;=$C102),1,""))</f>
        <v/>
      </c>
      <c r="AV102" s="10">
        <f>IF(OR($C102="",$D102=""),"",IF(AND(DATE($B$1,1,1)+(44-1)*7&lt;=$D102,DATE($B$1,1,1)+44*7-1&gt;=$C102),1,""))</f>
        <v/>
      </c>
      <c r="AW102" s="10">
        <f>IF(OR($C102="",$D102=""),"",IF(AND(DATE($B$1,1,1)+(45-1)*7&lt;=$D102,DATE($B$1,1,1)+45*7-1&gt;=$C102),1,""))</f>
        <v/>
      </c>
      <c r="AX102" s="10">
        <f>IF(OR($C102="",$D102=""),"",IF(AND(DATE($B$1,1,1)+(46-1)*7&lt;=$D102,DATE($B$1,1,1)+46*7-1&gt;=$C102),1,""))</f>
        <v/>
      </c>
      <c r="AY102" s="10">
        <f>IF(OR($C102="",$D102=""),"",IF(AND(DATE($B$1,1,1)+(47-1)*7&lt;=$D102,DATE($B$1,1,1)+47*7-1&gt;=$C102),1,""))</f>
        <v/>
      </c>
      <c r="AZ102" s="10">
        <f>IF(OR($C102="",$D102=""),"",IF(AND(DATE($B$1,1,1)+(48-1)*7&lt;=$D102,DATE($B$1,1,1)+48*7-1&gt;=$C102),1,""))</f>
        <v/>
      </c>
      <c r="BA102" s="10">
        <f>IF(OR($C102="",$D102=""),"",IF(AND(DATE($B$1,1,1)+(49-1)*7&lt;=$D102,DATE($B$1,1,1)+49*7-1&gt;=$C102),1,""))</f>
        <v/>
      </c>
      <c r="BB102" s="10">
        <f>IF(OR($C102="",$D102=""),"",IF(AND(DATE($B$1,1,1)+(50-1)*7&lt;=$D102,DATE($B$1,1,1)+50*7-1&gt;=$C102),1,""))</f>
        <v/>
      </c>
      <c r="BC102" s="10">
        <f>IF(OR($C102="",$D102=""),"",IF(AND(DATE($B$1,1,1)+(51-1)*7&lt;=$D102,DATE($B$1,1,1)+51*7-1&gt;=$C102),1,""))</f>
        <v/>
      </c>
      <c r="BD102" s="10">
        <f>IF(OR($C102="",$D102=""),"",IF(AND(DATE($B$1,1,1)+(52-1)*7&lt;=$D102,DATE($B$1,1,1)+52*7-1&gt;=$C102),1,""))</f>
        <v/>
      </c>
      <c r="BE102" s="10">
        <f>IF(OR($C102="",$D102=""),"",IF(AND(DATE($B$1,1,1)+(53-1)*7&lt;=$D102,DATE($B$1,1,1)+53*7-1&gt;=$C102),1,""))</f>
        <v/>
      </c>
      <c r="BF102" s="10">
        <f>IF(OR($C102="",$D102=""),"",IF(AND(DATE($B$1,1,1)+(54-1)*7&lt;=$D102,DATE($B$1,1,1)+54*7-1&gt;=$C102),1,""))</f>
        <v/>
      </c>
    </row>
    <row r="103">
      <c r="A103" s="6" t="n"/>
      <c r="B103" s="6" t="n"/>
      <c r="C103" s="11" t="n"/>
      <c r="D103" s="11" t="n"/>
      <c r="E103" s="10">
        <f>IF(OR($C103="",$D103=""),"",IF(AND(DATE($B$1,1,1)+(1-1)*7&lt;=$D103,DATE($B$1,1,1)+1*7-1&gt;=$C103),1,""))</f>
        <v/>
      </c>
      <c r="F103" s="10">
        <f>IF(OR($C103="",$D103=""),"",IF(AND(DATE($B$1,1,1)+(2-1)*7&lt;=$D103,DATE($B$1,1,1)+2*7-1&gt;=$C103),1,""))</f>
        <v/>
      </c>
      <c r="G103" s="10">
        <f>IF(OR($C103="",$D103=""),"",IF(AND(DATE($B$1,1,1)+(3-1)*7&lt;=$D103,DATE($B$1,1,1)+3*7-1&gt;=$C103),1,""))</f>
        <v/>
      </c>
      <c r="H103" s="10">
        <f>IF(OR($C103="",$D103=""),"",IF(AND(DATE($B$1,1,1)+(4-1)*7&lt;=$D103,DATE($B$1,1,1)+4*7-1&gt;=$C103),1,""))</f>
        <v/>
      </c>
      <c r="I103" s="10">
        <f>IF(OR($C103="",$D103=""),"",IF(AND(DATE($B$1,1,1)+(5-1)*7&lt;=$D103,DATE($B$1,1,1)+5*7-1&gt;=$C103),1,""))</f>
        <v/>
      </c>
      <c r="J103" s="10">
        <f>IF(OR($C103="",$D103=""),"",IF(AND(DATE($B$1,1,1)+(6-1)*7&lt;=$D103,DATE($B$1,1,1)+6*7-1&gt;=$C103),1,""))</f>
        <v/>
      </c>
      <c r="K103" s="10">
        <f>IF(OR($C103="",$D103=""),"",IF(AND(DATE($B$1,1,1)+(7-1)*7&lt;=$D103,DATE($B$1,1,1)+7*7-1&gt;=$C103),1,""))</f>
        <v/>
      </c>
      <c r="L103" s="10">
        <f>IF(OR($C103="",$D103=""),"",IF(AND(DATE($B$1,1,1)+(8-1)*7&lt;=$D103,DATE($B$1,1,1)+8*7-1&gt;=$C103),1,""))</f>
        <v/>
      </c>
      <c r="M103" s="10">
        <f>IF(OR($C103="",$D103=""),"",IF(AND(DATE($B$1,1,1)+(9-1)*7&lt;=$D103,DATE($B$1,1,1)+9*7-1&gt;=$C103),1,""))</f>
        <v/>
      </c>
      <c r="N103" s="10">
        <f>IF(OR($C103="",$D103=""),"",IF(AND(DATE($B$1,1,1)+(10-1)*7&lt;=$D103,DATE($B$1,1,1)+10*7-1&gt;=$C103),1,""))</f>
        <v/>
      </c>
      <c r="O103" s="10">
        <f>IF(OR($C103="",$D103=""),"",IF(AND(DATE($B$1,1,1)+(11-1)*7&lt;=$D103,DATE($B$1,1,1)+11*7-1&gt;=$C103),1,""))</f>
        <v/>
      </c>
      <c r="P103" s="10">
        <f>IF(OR($C103="",$D103=""),"",IF(AND(DATE($B$1,1,1)+(12-1)*7&lt;=$D103,DATE($B$1,1,1)+12*7-1&gt;=$C103),1,""))</f>
        <v/>
      </c>
      <c r="Q103" s="10">
        <f>IF(OR($C103="",$D103=""),"",IF(AND(DATE($B$1,1,1)+(13-1)*7&lt;=$D103,DATE($B$1,1,1)+13*7-1&gt;=$C103),1,""))</f>
        <v/>
      </c>
      <c r="R103" s="10">
        <f>IF(OR($C103="",$D103=""),"",IF(AND(DATE($B$1,1,1)+(14-1)*7&lt;=$D103,DATE($B$1,1,1)+14*7-1&gt;=$C103),1,""))</f>
        <v/>
      </c>
      <c r="S103" s="10">
        <f>IF(OR($C103="",$D103=""),"",IF(AND(DATE($B$1,1,1)+(15-1)*7&lt;=$D103,DATE($B$1,1,1)+15*7-1&gt;=$C103),1,""))</f>
        <v/>
      </c>
      <c r="T103" s="10">
        <f>IF(OR($C103="",$D103=""),"",IF(AND(DATE($B$1,1,1)+(16-1)*7&lt;=$D103,DATE($B$1,1,1)+16*7-1&gt;=$C103),1,""))</f>
        <v/>
      </c>
      <c r="U103" s="10">
        <f>IF(OR($C103="",$D103=""),"",IF(AND(DATE($B$1,1,1)+(17-1)*7&lt;=$D103,DATE($B$1,1,1)+17*7-1&gt;=$C103),1,""))</f>
        <v/>
      </c>
      <c r="V103" s="10">
        <f>IF(OR($C103="",$D103=""),"",IF(AND(DATE($B$1,1,1)+(18-1)*7&lt;=$D103,DATE($B$1,1,1)+18*7-1&gt;=$C103),1,""))</f>
        <v/>
      </c>
      <c r="W103" s="10">
        <f>IF(OR($C103="",$D103=""),"",IF(AND(DATE($B$1,1,1)+(19-1)*7&lt;=$D103,DATE($B$1,1,1)+19*7-1&gt;=$C103),1,""))</f>
        <v/>
      </c>
      <c r="X103" s="10">
        <f>IF(OR($C103="",$D103=""),"",IF(AND(DATE($B$1,1,1)+(20-1)*7&lt;=$D103,DATE($B$1,1,1)+20*7-1&gt;=$C103),1,""))</f>
        <v/>
      </c>
      <c r="Y103" s="10">
        <f>IF(OR($C103="",$D103=""),"",IF(AND(DATE($B$1,1,1)+(21-1)*7&lt;=$D103,DATE($B$1,1,1)+21*7-1&gt;=$C103),1,""))</f>
        <v/>
      </c>
      <c r="Z103" s="10">
        <f>IF(OR($C103="",$D103=""),"",IF(AND(DATE($B$1,1,1)+(22-1)*7&lt;=$D103,DATE($B$1,1,1)+22*7-1&gt;=$C103),1,""))</f>
        <v/>
      </c>
      <c r="AA103" s="10">
        <f>IF(OR($C103="",$D103=""),"",IF(AND(DATE($B$1,1,1)+(23-1)*7&lt;=$D103,DATE($B$1,1,1)+23*7-1&gt;=$C103),1,""))</f>
        <v/>
      </c>
      <c r="AB103" s="10">
        <f>IF(OR($C103="",$D103=""),"",IF(AND(DATE($B$1,1,1)+(24-1)*7&lt;=$D103,DATE($B$1,1,1)+24*7-1&gt;=$C103),1,""))</f>
        <v/>
      </c>
      <c r="AC103" s="10">
        <f>IF(OR($C103="",$D103=""),"",IF(AND(DATE($B$1,1,1)+(25-1)*7&lt;=$D103,DATE($B$1,1,1)+25*7-1&gt;=$C103),1,""))</f>
        <v/>
      </c>
      <c r="AD103" s="10">
        <f>IF(OR($C103="",$D103=""),"",IF(AND(DATE($B$1,1,1)+(26-1)*7&lt;=$D103,DATE($B$1,1,1)+26*7-1&gt;=$C103),1,""))</f>
        <v/>
      </c>
      <c r="AE103" s="10">
        <f>IF(OR($C103="",$D103=""),"",IF(AND(DATE($B$1,1,1)+(27-1)*7&lt;=$D103,DATE($B$1,1,1)+27*7-1&gt;=$C103),1,""))</f>
        <v/>
      </c>
      <c r="AF103" s="10">
        <f>IF(OR($C103="",$D103=""),"",IF(AND(DATE($B$1,1,1)+(28-1)*7&lt;=$D103,DATE($B$1,1,1)+28*7-1&gt;=$C103),1,""))</f>
        <v/>
      </c>
      <c r="AG103" s="10">
        <f>IF(OR($C103="",$D103=""),"",IF(AND(DATE($B$1,1,1)+(29-1)*7&lt;=$D103,DATE($B$1,1,1)+29*7-1&gt;=$C103),1,""))</f>
        <v/>
      </c>
      <c r="AH103" s="10">
        <f>IF(OR($C103="",$D103=""),"",IF(AND(DATE($B$1,1,1)+(30-1)*7&lt;=$D103,DATE($B$1,1,1)+30*7-1&gt;=$C103),1,""))</f>
        <v/>
      </c>
      <c r="AI103" s="10">
        <f>IF(OR($C103="",$D103=""),"",IF(AND(DATE($B$1,1,1)+(31-1)*7&lt;=$D103,DATE($B$1,1,1)+31*7-1&gt;=$C103),1,""))</f>
        <v/>
      </c>
      <c r="AJ103" s="10">
        <f>IF(OR($C103="",$D103=""),"",IF(AND(DATE($B$1,1,1)+(32-1)*7&lt;=$D103,DATE($B$1,1,1)+32*7-1&gt;=$C103),1,""))</f>
        <v/>
      </c>
      <c r="AK103" s="10">
        <f>IF(OR($C103="",$D103=""),"",IF(AND(DATE($B$1,1,1)+(33-1)*7&lt;=$D103,DATE($B$1,1,1)+33*7-1&gt;=$C103),1,""))</f>
        <v/>
      </c>
      <c r="AL103" s="10">
        <f>IF(OR($C103="",$D103=""),"",IF(AND(DATE($B$1,1,1)+(34-1)*7&lt;=$D103,DATE($B$1,1,1)+34*7-1&gt;=$C103),1,""))</f>
        <v/>
      </c>
      <c r="AM103" s="10">
        <f>IF(OR($C103="",$D103=""),"",IF(AND(DATE($B$1,1,1)+(35-1)*7&lt;=$D103,DATE($B$1,1,1)+35*7-1&gt;=$C103),1,""))</f>
        <v/>
      </c>
      <c r="AN103" s="10">
        <f>IF(OR($C103="",$D103=""),"",IF(AND(DATE($B$1,1,1)+(36-1)*7&lt;=$D103,DATE($B$1,1,1)+36*7-1&gt;=$C103),1,""))</f>
        <v/>
      </c>
      <c r="AO103" s="10">
        <f>IF(OR($C103="",$D103=""),"",IF(AND(DATE($B$1,1,1)+(37-1)*7&lt;=$D103,DATE($B$1,1,1)+37*7-1&gt;=$C103),1,""))</f>
        <v/>
      </c>
      <c r="AP103" s="10">
        <f>IF(OR($C103="",$D103=""),"",IF(AND(DATE($B$1,1,1)+(38-1)*7&lt;=$D103,DATE($B$1,1,1)+38*7-1&gt;=$C103),1,""))</f>
        <v/>
      </c>
      <c r="AQ103" s="10">
        <f>IF(OR($C103="",$D103=""),"",IF(AND(DATE($B$1,1,1)+(39-1)*7&lt;=$D103,DATE($B$1,1,1)+39*7-1&gt;=$C103),1,""))</f>
        <v/>
      </c>
      <c r="AR103" s="10">
        <f>IF(OR($C103="",$D103=""),"",IF(AND(DATE($B$1,1,1)+(40-1)*7&lt;=$D103,DATE($B$1,1,1)+40*7-1&gt;=$C103),1,""))</f>
        <v/>
      </c>
      <c r="AS103" s="10">
        <f>IF(OR($C103="",$D103=""),"",IF(AND(DATE($B$1,1,1)+(41-1)*7&lt;=$D103,DATE($B$1,1,1)+41*7-1&gt;=$C103),1,""))</f>
        <v/>
      </c>
      <c r="AT103" s="10">
        <f>IF(OR($C103="",$D103=""),"",IF(AND(DATE($B$1,1,1)+(42-1)*7&lt;=$D103,DATE($B$1,1,1)+42*7-1&gt;=$C103),1,""))</f>
        <v/>
      </c>
      <c r="AU103" s="10">
        <f>IF(OR($C103="",$D103=""),"",IF(AND(DATE($B$1,1,1)+(43-1)*7&lt;=$D103,DATE($B$1,1,1)+43*7-1&gt;=$C103),1,""))</f>
        <v/>
      </c>
      <c r="AV103" s="10">
        <f>IF(OR($C103="",$D103=""),"",IF(AND(DATE($B$1,1,1)+(44-1)*7&lt;=$D103,DATE($B$1,1,1)+44*7-1&gt;=$C103),1,""))</f>
        <v/>
      </c>
      <c r="AW103" s="10">
        <f>IF(OR($C103="",$D103=""),"",IF(AND(DATE($B$1,1,1)+(45-1)*7&lt;=$D103,DATE($B$1,1,1)+45*7-1&gt;=$C103),1,""))</f>
        <v/>
      </c>
      <c r="AX103" s="10">
        <f>IF(OR($C103="",$D103=""),"",IF(AND(DATE($B$1,1,1)+(46-1)*7&lt;=$D103,DATE($B$1,1,1)+46*7-1&gt;=$C103),1,""))</f>
        <v/>
      </c>
      <c r="AY103" s="10">
        <f>IF(OR($C103="",$D103=""),"",IF(AND(DATE($B$1,1,1)+(47-1)*7&lt;=$D103,DATE($B$1,1,1)+47*7-1&gt;=$C103),1,""))</f>
        <v/>
      </c>
      <c r="AZ103" s="10">
        <f>IF(OR($C103="",$D103=""),"",IF(AND(DATE($B$1,1,1)+(48-1)*7&lt;=$D103,DATE($B$1,1,1)+48*7-1&gt;=$C103),1,""))</f>
        <v/>
      </c>
      <c r="BA103" s="10">
        <f>IF(OR($C103="",$D103=""),"",IF(AND(DATE($B$1,1,1)+(49-1)*7&lt;=$D103,DATE($B$1,1,1)+49*7-1&gt;=$C103),1,""))</f>
        <v/>
      </c>
      <c r="BB103" s="10">
        <f>IF(OR($C103="",$D103=""),"",IF(AND(DATE($B$1,1,1)+(50-1)*7&lt;=$D103,DATE($B$1,1,1)+50*7-1&gt;=$C103),1,""))</f>
        <v/>
      </c>
      <c r="BC103" s="10">
        <f>IF(OR($C103="",$D103=""),"",IF(AND(DATE($B$1,1,1)+(51-1)*7&lt;=$D103,DATE($B$1,1,1)+51*7-1&gt;=$C103),1,""))</f>
        <v/>
      </c>
      <c r="BD103" s="10">
        <f>IF(OR($C103="",$D103=""),"",IF(AND(DATE($B$1,1,1)+(52-1)*7&lt;=$D103,DATE($B$1,1,1)+52*7-1&gt;=$C103),1,""))</f>
        <v/>
      </c>
      <c r="BE103" s="10">
        <f>IF(OR($C103="",$D103=""),"",IF(AND(DATE($B$1,1,1)+(53-1)*7&lt;=$D103,DATE($B$1,1,1)+53*7-1&gt;=$C103),1,""))</f>
        <v/>
      </c>
      <c r="BF103" s="10">
        <f>IF(OR($C103="",$D103=""),"",IF(AND(DATE($B$1,1,1)+(54-1)*7&lt;=$D103,DATE($B$1,1,1)+54*7-1&gt;=$C103),1,""))</f>
        <v/>
      </c>
    </row>
    <row r="104">
      <c r="A104" s="6" t="n"/>
      <c r="B104" s="6" t="n"/>
      <c r="C104" s="11" t="n"/>
      <c r="D104" s="11" t="n"/>
      <c r="E104" s="10">
        <f>IF(OR($C104="",$D104=""),"",IF(AND(DATE($B$1,1,1)+(1-1)*7&lt;=$D104,DATE($B$1,1,1)+1*7-1&gt;=$C104),1,""))</f>
        <v/>
      </c>
      <c r="F104" s="10">
        <f>IF(OR($C104="",$D104=""),"",IF(AND(DATE($B$1,1,1)+(2-1)*7&lt;=$D104,DATE($B$1,1,1)+2*7-1&gt;=$C104),1,""))</f>
        <v/>
      </c>
      <c r="G104" s="10">
        <f>IF(OR($C104="",$D104=""),"",IF(AND(DATE($B$1,1,1)+(3-1)*7&lt;=$D104,DATE($B$1,1,1)+3*7-1&gt;=$C104),1,""))</f>
        <v/>
      </c>
      <c r="H104" s="10">
        <f>IF(OR($C104="",$D104=""),"",IF(AND(DATE($B$1,1,1)+(4-1)*7&lt;=$D104,DATE($B$1,1,1)+4*7-1&gt;=$C104),1,""))</f>
        <v/>
      </c>
      <c r="I104" s="10">
        <f>IF(OR($C104="",$D104=""),"",IF(AND(DATE($B$1,1,1)+(5-1)*7&lt;=$D104,DATE($B$1,1,1)+5*7-1&gt;=$C104),1,""))</f>
        <v/>
      </c>
      <c r="J104" s="10">
        <f>IF(OR($C104="",$D104=""),"",IF(AND(DATE($B$1,1,1)+(6-1)*7&lt;=$D104,DATE($B$1,1,1)+6*7-1&gt;=$C104),1,""))</f>
        <v/>
      </c>
      <c r="K104" s="10">
        <f>IF(OR($C104="",$D104=""),"",IF(AND(DATE($B$1,1,1)+(7-1)*7&lt;=$D104,DATE($B$1,1,1)+7*7-1&gt;=$C104),1,""))</f>
        <v/>
      </c>
      <c r="L104" s="10">
        <f>IF(OR($C104="",$D104=""),"",IF(AND(DATE($B$1,1,1)+(8-1)*7&lt;=$D104,DATE($B$1,1,1)+8*7-1&gt;=$C104),1,""))</f>
        <v/>
      </c>
      <c r="M104" s="10">
        <f>IF(OR($C104="",$D104=""),"",IF(AND(DATE($B$1,1,1)+(9-1)*7&lt;=$D104,DATE($B$1,1,1)+9*7-1&gt;=$C104),1,""))</f>
        <v/>
      </c>
      <c r="N104" s="10">
        <f>IF(OR($C104="",$D104=""),"",IF(AND(DATE($B$1,1,1)+(10-1)*7&lt;=$D104,DATE($B$1,1,1)+10*7-1&gt;=$C104),1,""))</f>
        <v/>
      </c>
      <c r="O104" s="10">
        <f>IF(OR($C104="",$D104=""),"",IF(AND(DATE($B$1,1,1)+(11-1)*7&lt;=$D104,DATE($B$1,1,1)+11*7-1&gt;=$C104),1,""))</f>
        <v/>
      </c>
      <c r="P104" s="10">
        <f>IF(OR($C104="",$D104=""),"",IF(AND(DATE($B$1,1,1)+(12-1)*7&lt;=$D104,DATE($B$1,1,1)+12*7-1&gt;=$C104),1,""))</f>
        <v/>
      </c>
      <c r="Q104" s="10">
        <f>IF(OR($C104="",$D104=""),"",IF(AND(DATE($B$1,1,1)+(13-1)*7&lt;=$D104,DATE($B$1,1,1)+13*7-1&gt;=$C104),1,""))</f>
        <v/>
      </c>
      <c r="R104" s="10">
        <f>IF(OR($C104="",$D104=""),"",IF(AND(DATE($B$1,1,1)+(14-1)*7&lt;=$D104,DATE($B$1,1,1)+14*7-1&gt;=$C104),1,""))</f>
        <v/>
      </c>
      <c r="S104" s="10">
        <f>IF(OR($C104="",$D104=""),"",IF(AND(DATE($B$1,1,1)+(15-1)*7&lt;=$D104,DATE($B$1,1,1)+15*7-1&gt;=$C104),1,""))</f>
        <v/>
      </c>
      <c r="T104" s="10">
        <f>IF(OR($C104="",$D104=""),"",IF(AND(DATE($B$1,1,1)+(16-1)*7&lt;=$D104,DATE($B$1,1,1)+16*7-1&gt;=$C104),1,""))</f>
        <v/>
      </c>
      <c r="U104" s="10">
        <f>IF(OR($C104="",$D104=""),"",IF(AND(DATE($B$1,1,1)+(17-1)*7&lt;=$D104,DATE($B$1,1,1)+17*7-1&gt;=$C104),1,""))</f>
        <v/>
      </c>
      <c r="V104" s="10">
        <f>IF(OR($C104="",$D104=""),"",IF(AND(DATE($B$1,1,1)+(18-1)*7&lt;=$D104,DATE($B$1,1,1)+18*7-1&gt;=$C104),1,""))</f>
        <v/>
      </c>
      <c r="W104" s="10">
        <f>IF(OR($C104="",$D104=""),"",IF(AND(DATE($B$1,1,1)+(19-1)*7&lt;=$D104,DATE($B$1,1,1)+19*7-1&gt;=$C104),1,""))</f>
        <v/>
      </c>
      <c r="X104" s="10">
        <f>IF(OR($C104="",$D104=""),"",IF(AND(DATE($B$1,1,1)+(20-1)*7&lt;=$D104,DATE($B$1,1,1)+20*7-1&gt;=$C104),1,""))</f>
        <v/>
      </c>
      <c r="Y104" s="10">
        <f>IF(OR($C104="",$D104=""),"",IF(AND(DATE($B$1,1,1)+(21-1)*7&lt;=$D104,DATE($B$1,1,1)+21*7-1&gt;=$C104),1,""))</f>
        <v/>
      </c>
      <c r="Z104" s="10">
        <f>IF(OR($C104="",$D104=""),"",IF(AND(DATE($B$1,1,1)+(22-1)*7&lt;=$D104,DATE($B$1,1,1)+22*7-1&gt;=$C104),1,""))</f>
        <v/>
      </c>
      <c r="AA104" s="10">
        <f>IF(OR($C104="",$D104=""),"",IF(AND(DATE($B$1,1,1)+(23-1)*7&lt;=$D104,DATE($B$1,1,1)+23*7-1&gt;=$C104),1,""))</f>
        <v/>
      </c>
      <c r="AB104" s="10">
        <f>IF(OR($C104="",$D104=""),"",IF(AND(DATE($B$1,1,1)+(24-1)*7&lt;=$D104,DATE($B$1,1,1)+24*7-1&gt;=$C104),1,""))</f>
        <v/>
      </c>
      <c r="AC104" s="10">
        <f>IF(OR($C104="",$D104=""),"",IF(AND(DATE($B$1,1,1)+(25-1)*7&lt;=$D104,DATE($B$1,1,1)+25*7-1&gt;=$C104),1,""))</f>
        <v/>
      </c>
      <c r="AD104" s="10">
        <f>IF(OR($C104="",$D104=""),"",IF(AND(DATE($B$1,1,1)+(26-1)*7&lt;=$D104,DATE($B$1,1,1)+26*7-1&gt;=$C104),1,""))</f>
        <v/>
      </c>
      <c r="AE104" s="10">
        <f>IF(OR($C104="",$D104=""),"",IF(AND(DATE($B$1,1,1)+(27-1)*7&lt;=$D104,DATE($B$1,1,1)+27*7-1&gt;=$C104),1,""))</f>
        <v/>
      </c>
      <c r="AF104" s="10">
        <f>IF(OR($C104="",$D104=""),"",IF(AND(DATE($B$1,1,1)+(28-1)*7&lt;=$D104,DATE($B$1,1,1)+28*7-1&gt;=$C104),1,""))</f>
        <v/>
      </c>
      <c r="AG104" s="10">
        <f>IF(OR($C104="",$D104=""),"",IF(AND(DATE($B$1,1,1)+(29-1)*7&lt;=$D104,DATE($B$1,1,1)+29*7-1&gt;=$C104),1,""))</f>
        <v/>
      </c>
      <c r="AH104" s="10">
        <f>IF(OR($C104="",$D104=""),"",IF(AND(DATE($B$1,1,1)+(30-1)*7&lt;=$D104,DATE($B$1,1,1)+30*7-1&gt;=$C104),1,""))</f>
        <v/>
      </c>
      <c r="AI104" s="10">
        <f>IF(OR($C104="",$D104=""),"",IF(AND(DATE($B$1,1,1)+(31-1)*7&lt;=$D104,DATE($B$1,1,1)+31*7-1&gt;=$C104),1,""))</f>
        <v/>
      </c>
      <c r="AJ104" s="10">
        <f>IF(OR($C104="",$D104=""),"",IF(AND(DATE($B$1,1,1)+(32-1)*7&lt;=$D104,DATE($B$1,1,1)+32*7-1&gt;=$C104),1,""))</f>
        <v/>
      </c>
      <c r="AK104" s="10">
        <f>IF(OR($C104="",$D104=""),"",IF(AND(DATE($B$1,1,1)+(33-1)*7&lt;=$D104,DATE($B$1,1,1)+33*7-1&gt;=$C104),1,""))</f>
        <v/>
      </c>
      <c r="AL104" s="10">
        <f>IF(OR($C104="",$D104=""),"",IF(AND(DATE($B$1,1,1)+(34-1)*7&lt;=$D104,DATE($B$1,1,1)+34*7-1&gt;=$C104),1,""))</f>
        <v/>
      </c>
      <c r="AM104" s="10">
        <f>IF(OR($C104="",$D104=""),"",IF(AND(DATE($B$1,1,1)+(35-1)*7&lt;=$D104,DATE($B$1,1,1)+35*7-1&gt;=$C104),1,""))</f>
        <v/>
      </c>
      <c r="AN104" s="10">
        <f>IF(OR($C104="",$D104=""),"",IF(AND(DATE($B$1,1,1)+(36-1)*7&lt;=$D104,DATE($B$1,1,1)+36*7-1&gt;=$C104),1,""))</f>
        <v/>
      </c>
      <c r="AO104" s="10">
        <f>IF(OR($C104="",$D104=""),"",IF(AND(DATE($B$1,1,1)+(37-1)*7&lt;=$D104,DATE($B$1,1,1)+37*7-1&gt;=$C104),1,""))</f>
        <v/>
      </c>
      <c r="AP104" s="10">
        <f>IF(OR($C104="",$D104=""),"",IF(AND(DATE($B$1,1,1)+(38-1)*7&lt;=$D104,DATE($B$1,1,1)+38*7-1&gt;=$C104),1,""))</f>
        <v/>
      </c>
      <c r="AQ104" s="10">
        <f>IF(OR($C104="",$D104=""),"",IF(AND(DATE($B$1,1,1)+(39-1)*7&lt;=$D104,DATE($B$1,1,1)+39*7-1&gt;=$C104),1,""))</f>
        <v/>
      </c>
      <c r="AR104" s="10">
        <f>IF(OR($C104="",$D104=""),"",IF(AND(DATE($B$1,1,1)+(40-1)*7&lt;=$D104,DATE($B$1,1,1)+40*7-1&gt;=$C104),1,""))</f>
        <v/>
      </c>
      <c r="AS104" s="10">
        <f>IF(OR($C104="",$D104=""),"",IF(AND(DATE($B$1,1,1)+(41-1)*7&lt;=$D104,DATE($B$1,1,1)+41*7-1&gt;=$C104),1,""))</f>
        <v/>
      </c>
      <c r="AT104" s="10">
        <f>IF(OR($C104="",$D104=""),"",IF(AND(DATE($B$1,1,1)+(42-1)*7&lt;=$D104,DATE($B$1,1,1)+42*7-1&gt;=$C104),1,""))</f>
        <v/>
      </c>
      <c r="AU104" s="10">
        <f>IF(OR($C104="",$D104=""),"",IF(AND(DATE($B$1,1,1)+(43-1)*7&lt;=$D104,DATE($B$1,1,1)+43*7-1&gt;=$C104),1,""))</f>
        <v/>
      </c>
      <c r="AV104" s="10">
        <f>IF(OR($C104="",$D104=""),"",IF(AND(DATE($B$1,1,1)+(44-1)*7&lt;=$D104,DATE($B$1,1,1)+44*7-1&gt;=$C104),1,""))</f>
        <v/>
      </c>
      <c r="AW104" s="10">
        <f>IF(OR($C104="",$D104=""),"",IF(AND(DATE($B$1,1,1)+(45-1)*7&lt;=$D104,DATE($B$1,1,1)+45*7-1&gt;=$C104),1,""))</f>
        <v/>
      </c>
      <c r="AX104" s="10">
        <f>IF(OR($C104="",$D104=""),"",IF(AND(DATE($B$1,1,1)+(46-1)*7&lt;=$D104,DATE($B$1,1,1)+46*7-1&gt;=$C104),1,""))</f>
        <v/>
      </c>
      <c r="AY104" s="10">
        <f>IF(OR($C104="",$D104=""),"",IF(AND(DATE($B$1,1,1)+(47-1)*7&lt;=$D104,DATE($B$1,1,1)+47*7-1&gt;=$C104),1,""))</f>
        <v/>
      </c>
      <c r="AZ104" s="10">
        <f>IF(OR($C104="",$D104=""),"",IF(AND(DATE($B$1,1,1)+(48-1)*7&lt;=$D104,DATE($B$1,1,1)+48*7-1&gt;=$C104),1,""))</f>
        <v/>
      </c>
      <c r="BA104" s="10">
        <f>IF(OR($C104="",$D104=""),"",IF(AND(DATE($B$1,1,1)+(49-1)*7&lt;=$D104,DATE($B$1,1,1)+49*7-1&gt;=$C104),1,""))</f>
        <v/>
      </c>
      <c r="BB104" s="10">
        <f>IF(OR($C104="",$D104=""),"",IF(AND(DATE($B$1,1,1)+(50-1)*7&lt;=$D104,DATE($B$1,1,1)+50*7-1&gt;=$C104),1,""))</f>
        <v/>
      </c>
      <c r="BC104" s="10">
        <f>IF(OR($C104="",$D104=""),"",IF(AND(DATE($B$1,1,1)+(51-1)*7&lt;=$D104,DATE($B$1,1,1)+51*7-1&gt;=$C104),1,""))</f>
        <v/>
      </c>
      <c r="BD104" s="10">
        <f>IF(OR($C104="",$D104=""),"",IF(AND(DATE($B$1,1,1)+(52-1)*7&lt;=$D104,DATE($B$1,1,1)+52*7-1&gt;=$C104),1,""))</f>
        <v/>
      </c>
      <c r="BE104" s="10">
        <f>IF(OR($C104="",$D104=""),"",IF(AND(DATE($B$1,1,1)+(53-1)*7&lt;=$D104,DATE($B$1,1,1)+53*7-1&gt;=$C104),1,""))</f>
        <v/>
      </c>
      <c r="BF104" s="10">
        <f>IF(OR($C104="",$D104=""),"",IF(AND(DATE($B$1,1,1)+(54-1)*7&lt;=$D104,DATE($B$1,1,1)+54*7-1&gt;=$C104),1,""))</f>
        <v/>
      </c>
    </row>
    <row r="105">
      <c r="A105" s="6" t="n"/>
      <c r="B105" s="6" t="n"/>
      <c r="C105" s="11" t="n"/>
      <c r="D105" s="11" t="n"/>
      <c r="E105" s="10">
        <f>IF(OR($C105="",$D105=""),"",IF(AND(DATE($B$1,1,1)+(1-1)*7&lt;=$D105,DATE($B$1,1,1)+1*7-1&gt;=$C105),1,""))</f>
        <v/>
      </c>
      <c r="F105" s="10">
        <f>IF(OR($C105="",$D105=""),"",IF(AND(DATE($B$1,1,1)+(2-1)*7&lt;=$D105,DATE($B$1,1,1)+2*7-1&gt;=$C105),1,""))</f>
        <v/>
      </c>
      <c r="G105" s="10">
        <f>IF(OR($C105="",$D105=""),"",IF(AND(DATE($B$1,1,1)+(3-1)*7&lt;=$D105,DATE($B$1,1,1)+3*7-1&gt;=$C105),1,""))</f>
        <v/>
      </c>
      <c r="H105" s="10">
        <f>IF(OR($C105="",$D105=""),"",IF(AND(DATE($B$1,1,1)+(4-1)*7&lt;=$D105,DATE($B$1,1,1)+4*7-1&gt;=$C105),1,""))</f>
        <v/>
      </c>
      <c r="I105" s="10">
        <f>IF(OR($C105="",$D105=""),"",IF(AND(DATE($B$1,1,1)+(5-1)*7&lt;=$D105,DATE($B$1,1,1)+5*7-1&gt;=$C105),1,""))</f>
        <v/>
      </c>
      <c r="J105" s="10">
        <f>IF(OR($C105="",$D105=""),"",IF(AND(DATE($B$1,1,1)+(6-1)*7&lt;=$D105,DATE($B$1,1,1)+6*7-1&gt;=$C105),1,""))</f>
        <v/>
      </c>
      <c r="K105" s="10">
        <f>IF(OR($C105="",$D105=""),"",IF(AND(DATE($B$1,1,1)+(7-1)*7&lt;=$D105,DATE($B$1,1,1)+7*7-1&gt;=$C105),1,""))</f>
        <v/>
      </c>
      <c r="L105" s="10">
        <f>IF(OR($C105="",$D105=""),"",IF(AND(DATE($B$1,1,1)+(8-1)*7&lt;=$D105,DATE($B$1,1,1)+8*7-1&gt;=$C105),1,""))</f>
        <v/>
      </c>
      <c r="M105" s="10">
        <f>IF(OR($C105="",$D105=""),"",IF(AND(DATE($B$1,1,1)+(9-1)*7&lt;=$D105,DATE($B$1,1,1)+9*7-1&gt;=$C105),1,""))</f>
        <v/>
      </c>
      <c r="N105" s="10">
        <f>IF(OR($C105="",$D105=""),"",IF(AND(DATE($B$1,1,1)+(10-1)*7&lt;=$D105,DATE($B$1,1,1)+10*7-1&gt;=$C105),1,""))</f>
        <v/>
      </c>
      <c r="O105" s="10">
        <f>IF(OR($C105="",$D105=""),"",IF(AND(DATE($B$1,1,1)+(11-1)*7&lt;=$D105,DATE($B$1,1,1)+11*7-1&gt;=$C105),1,""))</f>
        <v/>
      </c>
      <c r="P105" s="10">
        <f>IF(OR($C105="",$D105=""),"",IF(AND(DATE($B$1,1,1)+(12-1)*7&lt;=$D105,DATE($B$1,1,1)+12*7-1&gt;=$C105),1,""))</f>
        <v/>
      </c>
      <c r="Q105" s="10">
        <f>IF(OR($C105="",$D105=""),"",IF(AND(DATE($B$1,1,1)+(13-1)*7&lt;=$D105,DATE($B$1,1,1)+13*7-1&gt;=$C105),1,""))</f>
        <v/>
      </c>
      <c r="R105" s="10">
        <f>IF(OR($C105="",$D105=""),"",IF(AND(DATE($B$1,1,1)+(14-1)*7&lt;=$D105,DATE($B$1,1,1)+14*7-1&gt;=$C105),1,""))</f>
        <v/>
      </c>
      <c r="S105" s="10">
        <f>IF(OR($C105="",$D105=""),"",IF(AND(DATE($B$1,1,1)+(15-1)*7&lt;=$D105,DATE($B$1,1,1)+15*7-1&gt;=$C105),1,""))</f>
        <v/>
      </c>
      <c r="T105" s="10">
        <f>IF(OR($C105="",$D105=""),"",IF(AND(DATE($B$1,1,1)+(16-1)*7&lt;=$D105,DATE($B$1,1,1)+16*7-1&gt;=$C105),1,""))</f>
        <v/>
      </c>
      <c r="U105" s="10">
        <f>IF(OR($C105="",$D105=""),"",IF(AND(DATE($B$1,1,1)+(17-1)*7&lt;=$D105,DATE($B$1,1,1)+17*7-1&gt;=$C105),1,""))</f>
        <v/>
      </c>
      <c r="V105" s="10">
        <f>IF(OR($C105="",$D105=""),"",IF(AND(DATE($B$1,1,1)+(18-1)*7&lt;=$D105,DATE($B$1,1,1)+18*7-1&gt;=$C105),1,""))</f>
        <v/>
      </c>
      <c r="W105" s="10">
        <f>IF(OR($C105="",$D105=""),"",IF(AND(DATE($B$1,1,1)+(19-1)*7&lt;=$D105,DATE($B$1,1,1)+19*7-1&gt;=$C105),1,""))</f>
        <v/>
      </c>
      <c r="X105" s="10">
        <f>IF(OR($C105="",$D105=""),"",IF(AND(DATE($B$1,1,1)+(20-1)*7&lt;=$D105,DATE($B$1,1,1)+20*7-1&gt;=$C105),1,""))</f>
        <v/>
      </c>
      <c r="Y105" s="10">
        <f>IF(OR($C105="",$D105=""),"",IF(AND(DATE($B$1,1,1)+(21-1)*7&lt;=$D105,DATE($B$1,1,1)+21*7-1&gt;=$C105),1,""))</f>
        <v/>
      </c>
      <c r="Z105" s="10">
        <f>IF(OR($C105="",$D105=""),"",IF(AND(DATE($B$1,1,1)+(22-1)*7&lt;=$D105,DATE($B$1,1,1)+22*7-1&gt;=$C105),1,""))</f>
        <v/>
      </c>
      <c r="AA105" s="10">
        <f>IF(OR($C105="",$D105=""),"",IF(AND(DATE($B$1,1,1)+(23-1)*7&lt;=$D105,DATE($B$1,1,1)+23*7-1&gt;=$C105),1,""))</f>
        <v/>
      </c>
      <c r="AB105" s="10">
        <f>IF(OR($C105="",$D105=""),"",IF(AND(DATE($B$1,1,1)+(24-1)*7&lt;=$D105,DATE($B$1,1,1)+24*7-1&gt;=$C105),1,""))</f>
        <v/>
      </c>
      <c r="AC105" s="10">
        <f>IF(OR($C105="",$D105=""),"",IF(AND(DATE($B$1,1,1)+(25-1)*7&lt;=$D105,DATE($B$1,1,1)+25*7-1&gt;=$C105),1,""))</f>
        <v/>
      </c>
      <c r="AD105" s="10">
        <f>IF(OR($C105="",$D105=""),"",IF(AND(DATE($B$1,1,1)+(26-1)*7&lt;=$D105,DATE($B$1,1,1)+26*7-1&gt;=$C105),1,""))</f>
        <v/>
      </c>
      <c r="AE105" s="10">
        <f>IF(OR($C105="",$D105=""),"",IF(AND(DATE($B$1,1,1)+(27-1)*7&lt;=$D105,DATE($B$1,1,1)+27*7-1&gt;=$C105),1,""))</f>
        <v/>
      </c>
      <c r="AF105" s="10">
        <f>IF(OR($C105="",$D105=""),"",IF(AND(DATE($B$1,1,1)+(28-1)*7&lt;=$D105,DATE($B$1,1,1)+28*7-1&gt;=$C105),1,""))</f>
        <v/>
      </c>
      <c r="AG105" s="10">
        <f>IF(OR($C105="",$D105=""),"",IF(AND(DATE($B$1,1,1)+(29-1)*7&lt;=$D105,DATE($B$1,1,1)+29*7-1&gt;=$C105),1,""))</f>
        <v/>
      </c>
      <c r="AH105" s="10">
        <f>IF(OR($C105="",$D105=""),"",IF(AND(DATE($B$1,1,1)+(30-1)*7&lt;=$D105,DATE($B$1,1,1)+30*7-1&gt;=$C105),1,""))</f>
        <v/>
      </c>
      <c r="AI105" s="10">
        <f>IF(OR($C105="",$D105=""),"",IF(AND(DATE($B$1,1,1)+(31-1)*7&lt;=$D105,DATE($B$1,1,1)+31*7-1&gt;=$C105),1,""))</f>
        <v/>
      </c>
      <c r="AJ105" s="10">
        <f>IF(OR($C105="",$D105=""),"",IF(AND(DATE($B$1,1,1)+(32-1)*7&lt;=$D105,DATE($B$1,1,1)+32*7-1&gt;=$C105),1,""))</f>
        <v/>
      </c>
      <c r="AK105" s="10">
        <f>IF(OR($C105="",$D105=""),"",IF(AND(DATE($B$1,1,1)+(33-1)*7&lt;=$D105,DATE($B$1,1,1)+33*7-1&gt;=$C105),1,""))</f>
        <v/>
      </c>
      <c r="AL105" s="10">
        <f>IF(OR($C105="",$D105=""),"",IF(AND(DATE($B$1,1,1)+(34-1)*7&lt;=$D105,DATE($B$1,1,1)+34*7-1&gt;=$C105),1,""))</f>
        <v/>
      </c>
      <c r="AM105" s="10">
        <f>IF(OR($C105="",$D105=""),"",IF(AND(DATE($B$1,1,1)+(35-1)*7&lt;=$D105,DATE($B$1,1,1)+35*7-1&gt;=$C105),1,""))</f>
        <v/>
      </c>
      <c r="AN105" s="10">
        <f>IF(OR($C105="",$D105=""),"",IF(AND(DATE($B$1,1,1)+(36-1)*7&lt;=$D105,DATE($B$1,1,1)+36*7-1&gt;=$C105),1,""))</f>
        <v/>
      </c>
      <c r="AO105" s="10">
        <f>IF(OR($C105="",$D105=""),"",IF(AND(DATE($B$1,1,1)+(37-1)*7&lt;=$D105,DATE($B$1,1,1)+37*7-1&gt;=$C105),1,""))</f>
        <v/>
      </c>
      <c r="AP105" s="10">
        <f>IF(OR($C105="",$D105=""),"",IF(AND(DATE($B$1,1,1)+(38-1)*7&lt;=$D105,DATE($B$1,1,1)+38*7-1&gt;=$C105),1,""))</f>
        <v/>
      </c>
      <c r="AQ105" s="10">
        <f>IF(OR($C105="",$D105=""),"",IF(AND(DATE($B$1,1,1)+(39-1)*7&lt;=$D105,DATE($B$1,1,1)+39*7-1&gt;=$C105),1,""))</f>
        <v/>
      </c>
      <c r="AR105" s="10">
        <f>IF(OR($C105="",$D105=""),"",IF(AND(DATE($B$1,1,1)+(40-1)*7&lt;=$D105,DATE($B$1,1,1)+40*7-1&gt;=$C105),1,""))</f>
        <v/>
      </c>
      <c r="AS105" s="10">
        <f>IF(OR($C105="",$D105=""),"",IF(AND(DATE($B$1,1,1)+(41-1)*7&lt;=$D105,DATE($B$1,1,1)+41*7-1&gt;=$C105),1,""))</f>
        <v/>
      </c>
      <c r="AT105" s="10">
        <f>IF(OR($C105="",$D105=""),"",IF(AND(DATE($B$1,1,1)+(42-1)*7&lt;=$D105,DATE($B$1,1,1)+42*7-1&gt;=$C105),1,""))</f>
        <v/>
      </c>
      <c r="AU105" s="10">
        <f>IF(OR($C105="",$D105=""),"",IF(AND(DATE($B$1,1,1)+(43-1)*7&lt;=$D105,DATE($B$1,1,1)+43*7-1&gt;=$C105),1,""))</f>
        <v/>
      </c>
      <c r="AV105" s="10">
        <f>IF(OR($C105="",$D105=""),"",IF(AND(DATE($B$1,1,1)+(44-1)*7&lt;=$D105,DATE($B$1,1,1)+44*7-1&gt;=$C105),1,""))</f>
        <v/>
      </c>
      <c r="AW105" s="10">
        <f>IF(OR($C105="",$D105=""),"",IF(AND(DATE($B$1,1,1)+(45-1)*7&lt;=$D105,DATE($B$1,1,1)+45*7-1&gt;=$C105),1,""))</f>
        <v/>
      </c>
      <c r="AX105" s="10">
        <f>IF(OR($C105="",$D105=""),"",IF(AND(DATE($B$1,1,1)+(46-1)*7&lt;=$D105,DATE($B$1,1,1)+46*7-1&gt;=$C105),1,""))</f>
        <v/>
      </c>
      <c r="AY105" s="10">
        <f>IF(OR($C105="",$D105=""),"",IF(AND(DATE($B$1,1,1)+(47-1)*7&lt;=$D105,DATE($B$1,1,1)+47*7-1&gt;=$C105),1,""))</f>
        <v/>
      </c>
      <c r="AZ105" s="10">
        <f>IF(OR($C105="",$D105=""),"",IF(AND(DATE($B$1,1,1)+(48-1)*7&lt;=$D105,DATE($B$1,1,1)+48*7-1&gt;=$C105),1,""))</f>
        <v/>
      </c>
      <c r="BA105" s="10">
        <f>IF(OR($C105="",$D105=""),"",IF(AND(DATE($B$1,1,1)+(49-1)*7&lt;=$D105,DATE($B$1,1,1)+49*7-1&gt;=$C105),1,""))</f>
        <v/>
      </c>
      <c r="BB105" s="10">
        <f>IF(OR($C105="",$D105=""),"",IF(AND(DATE($B$1,1,1)+(50-1)*7&lt;=$D105,DATE($B$1,1,1)+50*7-1&gt;=$C105),1,""))</f>
        <v/>
      </c>
      <c r="BC105" s="10">
        <f>IF(OR($C105="",$D105=""),"",IF(AND(DATE($B$1,1,1)+(51-1)*7&lt;=$D105,DATE($B$1,1,1)+51*7-1&gt;=$C105),1,""))</f>
        <v/>
      </c>
      <c r="BD105" s="10">
        <f>IF(OR($C105="",$D105=""),"",IF(AND(DATE($B$1,1,1)+(52-1)*7&lt;=$D105,DATE($B$1,1,1)+52*7-1&gt;=$C105),1,""))</f>
        <v/>
      </c>
      <c r="BE105" s="10">
        <f>IF(OR($C105="",$D105=""),"",IF(AND(DATE($B$1,1,1)+(53-1)*7&lt;=$D105,DATE($B$1,1,1)+53*7-1&gt;=$C105),1,""))</f>
        <v/>
      </c>
      <c r="BF105" s="10">
        <f>IF(OR($C105="",$D105=""),"",IF(AND(DATE($B$1,1,1)+(54-1)*7&lt;=$D105,DATE($B$1,1,1)+54*7-1&gt;=$C105),1,""))</f>
        <v/>
      </c>
    </row>
    <row r="106">
      <c r="A106" s="6" t="n"/>
      <c r="B106" s="6" t="n"/>
      <c r="C106" s="11" t="n"/>
      <c r="D106" s="11" t="n"/>
      <c r="E106" s="10">
        <f>IF(OR($C106="",$D106=""),"",IF(AND(DATE($B$1,1,1)+(1-1)*7&lt;=$D106,DATE($B$1,1,1)+1*7-1&gt;=$C106),1,""))</f>
        <v/>
      </c>
      <c r="F106" s="10">
        <f>IF(OR($C106="",$D106=""),"",IF(AND(DATE($B$1,1,1)+(2-1)*7&lt;=$D106,DATE($B$1,1,1)+2*7-1&gt;=$C106),1,""))</f>
        <v/>
      </c>
      <c r="G106" s="10">
        <f>IF(OR($C106="",$D106=""),"",IF(AND(DATE($B$1,1,1)+(3-1)*7&lt;=$D106,DATE($B$1,1,1)+3*7-1&gt;=$C106),1,""))</f>
        <v/>
      </c>
      <c r="H106" s="10">
        <f>IF(OR($C106="",$D106=""),"",IF(AND(DATE($B$1,1,1)+(4-1)*7&lt;=$D106,DATE($B$1,1,1)+4*7-1&gt;=$C106),1,""))</f>
        <v/>
      </c>
      <c r="I106" s="10">
        <f>IF(OR($C106="",$D106=""),"",IF(AND(DATE($B$1,1,1)+(5-1)*7&lt;=$D106,DATE($B$1,1,1)+5*7-1&gt;=$C106),1,""))</f>
        <v/>
      </c>
      <c r="J106" s="10">
        <f>IF(OR($C106="",$D106=""),"",IF(AND(DATE($B$1,1,1)+(6-1)*7&lt;=$D106,DATE($B$1,1,1)+6*7-1&gt;=$C106),1,""))</f>
        <v/>
      </c>
      <c r="K106" s="10">
        <f>IF(OR($C106="",$D106=""),"",IF(AND(DATE($B$1,1,1)+(7-1)*7&lt;=$D106,DATE($B$1,1,1)+7*7-1&gt;=$C106),1,""))</f>
        <v/>
      </c>
      <c r="L106" s="10">
        <f>IF(OR($C106="",$D106=""),"",IF(AND(DATE($B$1,1,1)+(8-1)*7&lt;=$D106,DATE($B$1,1,1)+8*7-1&gt;=$C106),1,""))</f>
        <v/>
      </c>
      <c r="M106" s="10">
        <f>IF(OR($C106="",$D106=""),"",IF(AND(DATE($B$1,1,1)+(9-1)*7&lt;=$D106,DATE($B$1,1,1)+9*7-1&gt;=$C106),1,""))</f>
        <v/>
      </c>
      <c r="N106" s="10">
        <f>IF(OR($C106="",$D106=""),"",IF(AND(DATE($B$1,1,1)+(10-1)*7&lt;=$D106,DATE($B$1,1,1)+10*7-1&gt;=$C106),1,""))</f>
        <v/>
      </c>
      <c r="O106" s="10">
        <f>IF(OR($C106="",$D106=""),"",IF(AND(DATE($B$1,1,1)+(11-1)*7&lt;=$D106,DATE($B$1,1,1)+11*7-1&gt;=$C106),1,""))</f>
        <v/>
      </c>
      <c r="P106" s="10">
        <f>IF(OR($C106="",$D106=""),"",IF(AND(DATE($B$1,1,1)+(12-1)*7&lt;=$D106,DATE($B$1,1,1)+12*7-1&gt;=$C106),1,""))</f>
        <v/>
      </c>
      <c r="Q106" s="10">
        <f>IF(OR($C106="",$D106=""),"",IF(AND(DATE($B$1,1,1)+(13-1)*7&lt;=$D106,DATE($B$1,1,1)+13*7-1&gt;=$C106),1,""))</f>
        <v/>
      </c>
      <c r="R106" s="10">
        <f>IF(OR($C106="",$D106=""),"",IF(AND(DATE($B$1,1,1)+(14-1)*7&lt;=$D106,DATE($B$1,1,1)+14*7-1&gt;=$C106),1,""))</f>
        <v/>
      </c>
      <c r="S106" s="10">
        <f>IF(OR($C106="",$D106=""),"",IF(AND(DATE($B$1,1,1)+(15-1)*7&lt;=$D106,DATE($B$1,1,1)+15*7-1&gt;=$C106),1,""))</f>
        <v/>
      </c>
      <c r="T106" s="10">
        <f>IF(OR($C106="",$D106=""),"",IF(AND(DATE($B$1,1,1)+(16-1)*7&lt;=$D106,DATE($B$1,1,1)+16*7-1&gt;=$C106),1,""))</f>
        <v/>
      </c>
      <c r="U106" s="10">
        <f>IF(OR($C106="",$D106=""),"",IF(AND(DATE($B$1,1,1)+(17-1)*7&lt;=$D106,DATE($B$1,1,1)+17*7-1&gt;=$C106),1,""))</f>
        <v/>
      </c>
      <c r="V106" s="10">
        <f>IF(OR($C106="",$D106=""),"",IF(AND(DATE($B$1,1,1)+(18-1)*7&lt;=$D106,DATE($B$1,1,1)+18*7-1&gt;=$C106),1,""))</f>
        <v/>
      </c>
      <c r="W106" s="10">
        <f>IF(OR($C106="",$D106=""),"",IF(AND(DATE($B$1,1,1)+(19-1)*7&lt;=$D106,DATE($B$1,1,1)+19*7-1&gt;=$C106),1,""))</f>
        <v/>
      </c>
      <c r="X106" s="10">
        <f>IF(OR($C106="",$D106=""),"",IF(AND(DATE($B$1,1,1)+(20-1)*7&lt;=$D106,DATE($B$1,1,1)+20*7-1&gt;=$C106),1,""))</f>
        <v/>
      </c>
      <c r="Y106" s="10">
        <f>IF(OR($C106="",$D106=""),"",IF(AND(DATE($B$1,1,1)+(21-1)*7&lt;=$D106,DATE($B$1,1,1)+21*7-1&gt;=$C106),1,""))</f>
        <v/>
      </c>
      <c r="Z106" s="10">
        <f>IF(OR($C106="",$D106=""),"",IF(AND(DATE($B$1,1,1)+(22-1)*7&lt;=$D106,DATE($B$1,1,1)+22*7-1&gt;=$C106),1,""))</f>
        <v/>
      </c>
      <c r="AA106" s="10">
        <f>IF(OR($C106="",$D106=""),"",IF(AND(DATE($B$1,1,1)+(23-1)*7&lt;=$D106,DATE($B$1,1,1)+23*7-1&gt;=$C106),1,""))</f>
        <v/>
      </c>
      <c r="AB106" s="10">
        <f>IF(OR($C106="",$D106=""),"",IF(AND(DATE($B$1,1,1)+(24-1)*7&lt;=$D106,DATE($B$1,1,1)+24*7-1&gt;=$C106),1,""))</f>
        <v/>
      </c>
      <c r="AC106" s="10">
        <f>IF(OR($C106="",$D106=""),"",IF(AND(DATE($B$1,1,1)+(25-1)*7&lt;=$D106,DATE($B$1,1,1)+25*7-1&gt;=$C106),1,""))</f>
        <v/>
      </c>
      <c r="AD106" s="10">
        <f>IF(OR($C106="",$D106=""),"",IF(AND(DATE($B$1,1,1)+(26-1)*7&lt;=$D106,DATE($B$1,1,1)+26*7-1&gt;=$C106),1,""))</f>
        <v/>
      </c>
      <c r="AE106" s="10">
        <f>IF(OR($C106="",$D106=""),"",IF(AND(DATE($B$1,1,1)+(27-1)*7&lt;=$D106,DATE($B$1,1,1)+27*7-1&gt;=$C106),1,""))</f>
        <v/>
      </c>
      <c r="AF106" s="10">
        <f>IF(OR($C106="",$D106=""),"",IF(AND(DATE($B$1,1,1)+(28-1)*7&lt;=$D106,DATE($B$1,1,1)+28*7-1&gt;=$C106),1,""))</f>
        <v/>
      </c>
      <c r="AG106" s="10">
        <f>IF(OR($C106="",$D106=""),"",IF(AND(DATE($B$1,1,1)+(29-1)*7&lt;=$D106,DATE($B$1,1,1)+29*7-1&gt;=$C106),1,""))</f>
        <v/>
      </c>
      <c r="AH106" s="10">
        <f>IF(OR($C106="",$D106=""),"",IF(AND(DATE($B$1,1,1)+(30-1)*7&lt;=$D106,DATE($B$1,1,1)+30*7-1&gt;=$C106),1,""))</f>
        <v/>
      </c>
      <c r="AI106" s="10">
        <f>IF(OR($C106="",$D106=""),"",IF(AND(DATE($B$1,1,1)+(31-1)*7&lt;=$D106,DATE($B$1,1,1)+31*7-1&gt;=$C106),1,""))</f>
        <v/>
      </c>
      <c r="AJ106" s="10">
        <f>IF(OR($C106="",$D106=""),"",IF(AND(DATE($B$1,1,1)+(32-1)*7&lt;=$D106,DATE($B$1,1,1)+32*7-1&gt;=$C106),1,""))</f>
        <v/>
      </c>
      <c r="AK106" s="10">
        <f>IF(OR($C106="",$D106=""),"",IF(AND(DATE($B$1,1,1)+(33-1)*7&lt;=$D106,DATE($B$1,1,1)+33*7-1&gt;=$C106),1,""))</f>
        <v/>
      </c>
      <c r="AL106" s="10">
        <f>IF(OR($C106="",$D106=""),"",IF(AND(DATE($B$1,1,1)+(34-1)*7&lt;=$D106,DATE($B$1,1,1)+34*7-1&gt;=$C106),1,""))</f>
        <v/>
      </c>
      <c r="AM106" s="10">
        <f>IF(OR($C106="",$D106=""),"",IF(AND(DATE($B$1,1,1)+(35-1)*7&lt;=$D106,DATE($B$1,1,1)+35*7-1&gt;=$C106),1,""))</f>
        <v/>
      </c>
      <c r="AN106" s="10">
        <f>IF(OR($C106="",$D106=""),"",IF(AND(DATE($B$1,1,1)+(36-1)*7&lt;=$D106,DATE($B$1,1,1)+36*7-1&gt;=$C106),1,""))</f>
        <v/>
      </c>
      <c r="AO106" s="10">
        <f>IF(OR($C106="",$D106=""),"",IF(AND(DATE($B$1,1,1)+(37-1)*7&lt;=$D106,DATE($B$1,1,1)+37*7-1&gt;=$C106),1,""))</f>
        <v/>
      </c>
      <c r="AP106" s="10">
        <f>IF(OR($C106="",$D106=""),"",IF(AND(DATE($B$1,1,1)+(38-1)*7&lt;=$D106,DATE($B$1,1,1)+38*7-1&gt;=$C106),1,""))</f>
        <v/>
      </c>
      <c r="AQ106" s="10">
        <f>IF(OR($C106="",$D106=""),"",IF(AND(DATE($B$1,1,1)+(39-1)*7&lt;=$D106,DATE($B$1,1,1)+39*7-1&gt;=$C106),1,""))</f>
        <v/>
      </c>
      <c r="AR106" s="10">
        <f>IF(OR($C106="",$D106=""),"",IF(AND(DATE($B$1,1,1)+(40-1)*7&lt;=$D106,DATE($B$1,1,1)+40*7-1&gt;=$C106),1,""))</f>
        <v/>
      </c>
      <c r="AS106" s="10">
        <f>IF(OR($C106="",$D106=""),"",IF(AND(DATE($B$1,1,1)+(41-1)*7&lt;=$D106,DATE($B$1,1,1)+41*7-1&gt;=$C106),1,""))</f>
        <v/>
      </c>
      <c r="AT106" s="10">
        <f>IF(OR($C106="",$D106=""),"",IF(AND(DATE($B$1,1,1)+(42-1)*7&lt;=$D106,DATE($B$1,1,1)+42*7-1&gt;=$C106),1,""))</f>
        <v/>
      </c>
      <c r="AU106" s="10">
        <f>IF(OR($C106="",$D106=""),"",IF(AND(DATE($B$1,1,1)+(43-1)*7&lt;=$D106,DATE($B$1,1,1)+43*7-1&gt;=$C106),1,""))</f>
        <v/>
      </c>
      <c r="AV106" s="10">
        <f>IF(OR($C106="",$D106=""),"",IF(AND(DATE($B$1,1,1)+(44-1)*7&lt;=$D106,DATE($B$1,1,1)+44*7-1&gt;=$C106),1,""))</f>
        <v/>
      </c>
      <c r="AW106" s="10">
        <f>IF(OR($C106="",$D106=""),"",IF(AND(DATE($B$1,1,1)+(45-1)*7&lt;=$D106,DATE($B$1,1,1)+45*7-1&gt;=$C106),1,""))</f>
        <v/>
      </c>
      <c r="AX106" s="10">
        <f>IF(OR($C106="",$D106=""),"",IF(AND(DATE($B$1,1,1)+(46-1)*7&lt;=$D106,DATE($B$1,1,1)+46*7-1&gt;=$C106),1,""))</f>
        <v/>
      </c>
      <c r="AY106" s="10">
        <f>IF(OR($C106="",$D106=""),"",IF(AND(DATE($B$1,1,1)+(47-1)*7&lt;=$D106,DATE($B$1,1,1)+47*7-1&gt;=$C106),1,""))</f>
        <v/>
      </c>
      <c r="AZ106" s="10">
        <f>IF(OR($C106="",$D106=""),"",IF(AND(DATE($B$1,1,1)+(48-1)*7&lt;=$D106,DATE($B$1,1,1)+48*7-1&gt;=$C106),1,""))</f>
        <v/>
      </c>
      <c r="BA106" s="10">
        <f>IF(OR($C106="",$D106=""),"",IF(AND(DATE($B$1,1,1)+(49-1)*7&lt;=$D106,DATE($B$1,1,1)+49*7-1&gt;=$C106),1,""))</f>
        <v/>
      </c>
      <c r="BB106" s="10">
        <f>IF(OR($C106="",$D106=""),"",IF(AND(DATE($B$1,1,1)+(50-1)*7&lt;=$D106,DATE($B$1,1,1)+50*7-1&gt;=$C106),1,""))</f>
        <v/>
      </c>
      <c r="BC106" s="10">
        <f>IF(OR($C106="",$D106=""),"",IF(AND(DATE($B$1,1,1)+(51-1)*7&lt;=$D106,DATE($B$1,1,1)+51*7-1&gt;=$C106),1,""))</f>
        <v/>
      </c>
      <c r="BD106" s="10">
        <f>IF(OR($C106="",$D106=""),"",IF(AND(DATE($B$1,1,1)+(52-1)*7&lt;=$D106,DATE($B$1,1,1)+52*7-1&gt;=$C106),1,""))</f>
        <v/>
      </c>
      <c r="BE106" s="10">
        <f>IF(OR($C106="",$D106=""),"",IF(AND(DATE($B$1,1,1)+(53-1)*7&lt;=$D106,DATE($B$1,1,1)+53*7-1&gt;=$C106),1,""))</f>
        <v/>
      </c>
      <c r="BF106" s="10">
        <f>IF(OR($C106="",$D106=""),"",IF(AND(DATE($B$1,1,1)+(54-1)*7&lt;=$D106,DATE($B$1,1,1)+54*7-1&gt;=$C106),1,""))</f>
        <v/>
      </c>
    </row>
    <row r="107">
      <c r="A107" s="6" t="n"/>
      <c r="B107" s="6" t="n"/>
      <c r="C107" s="11" t="n"/>
      <c r="D107" s="11" t="n"/>
      <c r="E107" s="10">
        <f>IF(OR($C107="",$D107=""),"",IF(AND(DATE($B$1,1,1)+(1-1)*7&lt;=$D107,DATE($B$1,1,1)+1*7-1&gt;=$C107),1,""))</f>
        <v/>
      </c>
      <c r="F107" s="10">
        <f>IF(OR($C107="",$D107=""),"",IF(AND(DATE($B$1,1,1)+(2-1)*7&lt;=$D107,DATE($B$1,1,1)+2*7-1&gt;=$C107),1,""))</f>
        <v/>
      </c>
      <c r="G107" s="10">
        <f>IF(OR($C107="",$D107=""),"",IF(AND(DATE($B$1,1,1)+(3-1)*7&lt;=$D107,DATE($B$1,1,1)+3*7-1&gt;=$C107),1,""))</f>
        <v/>
      </c>
      <c r="H107" s="10">
        <f>IF(OR($C107="",$D107=""),"",IF(AND(DATE($B$1,1,1)+(4-1)*7&lt;=$D107,DATE($B$1,1,1)+4*7-1&gt;=$C107),1,""))</f>
        <v/>
      </c>
      <c r="I107" s="10">
        <f>IF(OR($C107="",$D107=""),"",IF(AND(DATE($B$1,1,1)+(5-1)*7&lt;=$D107,DATE($B$1,1,1)+5*7-1&gt;=$C107),1,""))</f>
        <v/>
      </c>
      <c r="J107" s="10">
        <f>IF(OR($C107="",$D107=""),"",IF(AND(DATE($B$1,1,1)+(6-1)*7&lt;=$D107,DATE($B$1,1,1)+6*7-1&gt;=$C107),1,""))</f>
        <v/>
      </c>
      <c r="K107" s="10">
        <f>IF(OR($C107="",$D107=""),"",IF(AND(DATE($B$1,1,1)+(7-1)*7&lt;=$D107,DATE($B$1,1,1)+7*7-1&gt;=$C107),1,""))</f>
        <v/>
      </c>
      <c r="L107" s="10">
        <f>IF(OR($C107="",$D107=""),"",IF(AND(DATE($B$1,1,1)+(8-1)*7&lt;=$D107,DATE($B$1,1,1)+8*7-1&gt;=$C107),1,""))</f>
        <v/>
      </c>
      <c r="M107" s="10">
        <f>IF(OR($C107="",$D107=""),"",IF(AND(DATE($B$1,1,1)+(9-1)*7&lt;=$D107,DATE($B$1,1,1)+9*7-1&gt;=$C107),1,""))</f>
        <v/>
      </c>
      <c r="N107" s="10">
        <f>IF(OR($C107="",$D107=""),"",IF(AND(DATE($B$1,1,1)+(10-1)*7&lt;=$D107,DATE($B$1,1,1)+10*7-1&gt;=$C107),1,""))</f>
        <v/>
      </c>
      <c r="O107" s="10">
        <f>IF(OR($C107="",$D107=""),"",IF(AND(DATE($B$1,1,1)+(11-1)*7&lt;=$D107,DATE($B$1,1,1)+11*7-1&gt;=$C107),1,""))</f>
        <v/>
      </c>
      <c r="P107" s="10">
        <f>IF(OR($C107="",$D107=""),"",IF(AND(DATE($B$1,1,1)+(12-1)*7&lt;=$D107,DATE($B$1,1,1)+12*7-1&gt;=$C107),1,""))</f>
        <v/>
      </c>
      <c r="Q107" s="10">
        <f>IF(OR($C107="",$D107=""),"",IF(AND(DATE($B$1,1,1)+(13-1)*7&lt;=$D107,DATE($B$1,1,1)+13*7-1&gt;=$C107),1,""))</f>
        <v/>
      </c>
      <c r="R107" s="10">
        <f>IF(OR($C107="",$D107=""),"",IF(AND(DATE($B$1,1,1)+(14-1)*7&lt;=$D107,DATE($B$1,1,1)+14*7-1&gt;=$C107),1,""))</f>
        <v/>
      </c>
      <c r="S107" s="10">
        <f>IF(OR($C107="",$D107=""),"",IF(AND(DATE($B$1,1,1)+(15-1)*7&lt;=$D107,DATE($B$1,1,1)+15*7-1&gt;=$C107),1,""))</f>
        <v/>
      </c>
      <c r="T107" s="10">
        <f>IF(OR($C107="",$D107=""),"",IF(AND(DATE($B$1,1,1)+(16-1)*7&lt;=$D107,DATE($B$1,1,1)+16*7-1&gt;=$C107),1,""))</f>
        <v/>
      </c>
      <c r="U107" s="10">
        <f>IF(OR($C107="",$D107=""),"",IF(AND(DATE($B$1,1,1)+(17-1)*7&lt;=$D107,DATE($B$1,1,1)+17*7-1&gt;=$C107),1,""))</f>
        <v/>
      </c>
      <c r="V107" s="10">
        <f>IF(OR($C107="",$D107=""),"",IF(AND(DATE($B$1,1,1)+(18-1)*7&lt;=$D107,DATE($B$1,1,1)+18*7-1&gt;=$C107),1,""))</f>
        <v/>
      </c>
      <c r="W107" s="10">
        <f>IF(OR($C107="",$D107=""),"",IF(AND(DATE($B$1,1,1)+(19-1)*7&lt;=$D107,DATE($B$1,1,1)+19*7-1&gt;=$C107),1,""))</f>
        <v/>
      </c>
      <c r="X107" s="10">
        <f>IF(OR($C107="",$D107=""),"",IF(AND(DATE($B$1,1,1)+(20-1)*7&lt;=$D107,DATE($B$1,1,1)+20*7-1&gt;=$C107),1,""))</f>
        <v/>
      </c>
      <c r="Y107" s="10">
        <f>IF(OR($C107="",$D107=""),"",IF(AND(DATE($B$1,1,1)+(21-1)*7&lt;=$D107,DATE($B$1,1,1)+21*7-1&gt;=$C107),1,""))</f>
        <v/>
      </c>
      <c r="Z107" s="10">
        <f>IF(OR($C107="",$D107=""),"",IF(AND(DATE($B$1,1,1)+(22-1)*7&lt;=$D107,DATE($B$1,1,1)+22*7-1&gt;=$C107),1,""))</f>
        <v/>
      </c>
      <c r="AA107" s="10">
        <f>IF(OR($C107="",$D107=""),"",IF(AND(DATE($B$1,1,1)+(23-1)*7&lt;=$D107,DATE($B$1,1,1)+23*7-1&gt;=$C107),1,""))</f>
        <v/>
      </c>
      <c r="AB107" s="10">
        <f>IF(OR($C107="",$D107=""),"",IF(AND(DATE($B$1,1,1)+(24-1)*7&lt;=$D107,DATE($B$1,1,1)+24*7-1&gt;=$C107),1,""))</f>
        <v/>
      </c>
      <c r="AC107" s="10">
        <f>IF(OR($C107="",$D107=""),"",IF(AND(DATE($B$1,1,1)+(25-1)*7&lt;=$D107,DATE($B$1,1,1)+25*7-1&gt;=$C107),1,""))</f>
        <v/>
      </c>
      <c r="AD107" s="10">
        <f>IF(OR($C107="",$D107=""),"",IF(AND(DATE($B$1,1,1)+(26-1)*7&lt;=$D107,DATE($B$1,1,1)+26*7-1&gt;=$C107),1,""))</f>
        <v/>
      </c>
      <c r="AE107" s="10">
        <f>IF(OR($C107="",$D107=""),"",IF(AND(DATE($B$1,1,1)+(27-1)*7&lt;=$D107,DATE($B$1,1,1)+27*7-1&gt;=$C107),1,""))</f>
        <v/>
      </c>
      <c r="AF107" s="10">
        <f>IF(OR($C107="",$D107=""),"",IF(AND(DATE($B$1,1,1)+(28-1)*7&lt;=$D107,DATE($B$1,1,1)+28*7-1&gt;=$C107),1,""))</f>
        <v/>
      </c>
      <c r="AG107" s="10">
        <f>IF(OR($C107="",$D107=""),"",IF(AND(DATE($B$1,1,1)+(29-1)*7&lt;=$D107,DATE($B$1,1,1)+29*7-1&gt;=$C107),1,""))</f>
        <v/>
      </c>
      <c r="AH107" s="10">
        <f>IF(OR($C107="",$D107=""),"",IF(AND(DATE($B$1,1,1)+(30-1)*7&lt;=$D107,DATE($B$1,1,1)+30*7-1&gt;=$C107),1,""))</f>
        <v/>
      </c>
      <c r="AI107" s="10">
        <f>IF(OR($C107="",$D107=""),"",IF(AND(DATE($B$1,1,1)+(31-1)*7&lt;=$D107,DATE($B$1,1,1)+31*7-1&gt;=$C107),1,""))</f>
        <v/>
      </c>
      <c r="AJ107" s="10">
        <f>IF(OR($C107="",$D107=""),"",IF(AND(DATE($B$1,1,1)+(32-1)*7&lt;=$D107,DATE($B$1,1,1)+32*7-1&gt;=$C107),1,""))</f>
        <v/>
      </c>
      <c r="AK107" s="10">
        <f>IF(OR($C107="",$D107=""),"",IF(AND(DATE($B$1,1,1)+(33-1)*7&lt;=$D107,DATE($B$1,1,1)+33*7-1&gt;=$C107),1,""))</f>
        <v/>
      </c>
      <c r="AL107" s="10">
        <f>IF(OR($C107="",$D107=""),"",IF(AND(DATE($B$1,1,1)+(34-1)*7&lt;=$D107,DATE($B$1,1,1)+34*7-1&gt;=$C107),1,""))</f>
        <v/>
      </c>
      <c r="AM107" s="10">
        <f>IF(OR($C107="",$D107=""),"",IF(AND(DATE($B$1,1,1)+(35-1)*7&lt;=$D107,DATE($B$1,1,1)+35*7-1&gt;=$C107),1,""))</f>
        <v/>
      </c>
      <c r="AN107" s="10">
        <f>IF(OR($C107="",$D107=""),"",IF(AND(DATE($B$1,1,1)+(36-1)*7&lt;=$D107,DATE($B$1,1,1)+36*7-1&gt;=$C107),1,""))</f>
        <v/>
      </c>
      <c r="AO107" s="10">
        <f>IF(OR($C107="",$D107=""),"",IF(AND(DATE($B$1,1,1)+(37-1)*7&lt;=$D107,DATE($B$1,1,1)+37*7-1&gt;=$C107),1,""))</f>
        <v/>
      </c>
      <c r="AP107" s="10">
        <f>IF(OR($C107="",$D107=""),"",IF(AND(DATE($B$1,1,1)+(38-1)*7&lt;=$D107,DATE($B$1,1,1)+38*7-1&gt;=$C107),1,""))</f>
        <v/>
      </c>
      <c r="AQ107" s="10">
        <f>IF(OR($C107="",$D107=""),"",IF(AND(DATE($B$1,1,1)+(39-1)*7&lt;=$D107,DATE($B$1,1,1)+39*7-1&gt;=$C107),1,""))</f>
        <v/>
      </c>
      <c r="AR107" s="10">
        <f>IF(OR($C107="",$D107=""),"",IF(AND(DATE($B$1,1,1)+(40-1)*7&lt;=$D107,DATE($B$1,1,1)+40*7-1&gt;=$C107),1,""))</f>
        <v/>
      </c>
      <c r="AS107" s="10">
        <f>IF(OR($C107="",$D107=""),"",IF(AND(DATE($B$1,1,1)+(41-1)*7&lt;=$D107,DATE($B$1,1,1)+41*7-1&gt;=$C107),1,""))</f>
        <v/>
      </c>
      <c r="AT107" s="10">
        <f>IF(OR($C107="",$D107=""),"",IF(AND(DATE($B$1,1,1)+(42-1)*7&lt;=$D107,DATE($B$1,1,1)+42*7-1&gt;=$C107),1,""))</f>
        <v/>
      </c>
      <c r="AU107" s="10">
        <f>IF(OR($C107="",$D107=""),"",IF(AND(DATE($B$1,1,1)+(43-1)*7&lt;=$D107,DATE($B$1,1,1)+43*7-1&gt;=$C107),1,""))</f>
        <v/>
      </c>
      <c r="AV107" s="10">
        <f>IF(OR($C107="",$D107=""),"",IF(AND(DATE($B$1,1,1)+(44-1)*7&lt;=$D107,DATE($B$1,1,1)+44*7-1&gt;=$C107),1,""))</f>
        <v/>
      </c>
      <c r="AW107" s="10">
        <f>IF(OR($C107="",$D107=""),"",IF(AND(DATE($B$1,1,1)+(45-1)*7&lt;=$D107,DATE($B$1,1,1)+45*7-1&gt;=$C107),1,""))</f>
        <v/>
      </c>
      <c r="AX107" s="10">
        <f>IF(OR($C107="",$D107=""),"",IF(AND(DATE($B$1,1,1)+(46-1)*7&lt;=$D107,DATE($B$1,1,1)+46*7-1&gt;=$C107),1,""))</f>
        <v/>
      </c>
      <c r="AY107" s="10">
        <f>IF(OR($C107="",$D107=""),"",IF(AND(DATE($B$1,1,1)+(47-1)*7&lt;=$D107,DATE($B$1,1,1)+47*7-1&gt;=$C107),1,""))</f>
        <v/>
      </c>
      <c r="AZ107" s="10">
        <f>IF(OR($C107="",$D107=""),"",IF(AND(DATE($B$1,1,1)+(48-1)*7&lt;=$D107,DATE($B$1,1,1)+48*7-1&gt;=$C107),1,""))</f>
        <v/>
      </c>
      <c r="BA107" s="10">
        <f>IF(OR($C107="",$D107=""),"",IF(AND(DATE($B$1,1,1)+(49-1)*7&lt;=$D107,DATE($B$1,1,1)+49*7-1&gt;=$C107),1,""))</f>
        <v/>
      </c>
      <c r="BB107" s="10">
        <f>IF(OR($C107="",$D107=""),"",IF(AND(DATE($B$1,1,1)+(50-1)*7&lt;=$D107,DATE($B$1,1,1)+50*7-1&gt;=$C107),1,""))</f>
        <v/>
      </c>
      <c r="BC107" s="10">
        <f>IF(OR($C107="",$D107=""),"",IF(AND(DATE($B$1,1,1)+(51-1)*7&lt;=$D107,DATE($B$1,1,1)+51*7-1&gt;=$C107),1,""))</f>
        <v/>
      </c>
      <c r="BD107" s="10">
        <f>IF(OR($C107="",$D107=""),"",IF(AND(DATE($B$1,1,1)+(52-1)*7&lt;=$D107,DATE($B$1,1,1)+52*7-1&gt;=$C107),1,""))</f>
        <v/>
      </c>
      <c r="BE107" s="10">
        <f>IF(OR($C107="",$D107=""),"",IF(AND(DATE($B$1,1,1)+(53-1)*7&lt;=$D107,DATE($B$1,1,1)+53*7-1&gt;=$C107),1,""))</f>
        <v/>
      </c>
      <c r="BF107" s="10">
        <f>IF(OR($C107="",$D107=""),"",IF(AND(DATE($B$1,1,1)+(54-1)*7&lt;=$D107,DATE($B$1,1,1)+54*7-1&gt;=$C107),1,""))</f>
        <v/>
      </c>
    </row>
    <row r="108">
      <c r="A108" s="6" t="n"/>
      <c r="B108" s="6" t="n"/>
      <c r="C108" s="11" t="n"/>
      <c r="D108" s="11" t="n"/>
      <c r="E108" s="10">
        <f>IF(OR($C108="",$D108=""),"",IF(AND(DATE($B$1,1,1)+(1-1)*7&lt;=$D108,DATE($B$1,1,1)+1*7-1&gt;=$C108),1,""))</f>
        <v/>
      </c>
      <c r="F108" s="10">
        <f>IF(OR($C108="",$D108=""),"",IF(AND(DATE($B$1,1,1)+(2-1)*7&lt;=$D108,DATE($B$1,1,1)+2*7-1&gt;=$C108),1,""))</f>
        <v/>
      </c>
      <c r="G108" s="10">
        <f>IF(OR($C108="",$D108=""),"",IF(AND(DATE($B$1,1,1)+(3-1)*7&lt;=$D108,DATE($B$1,1,1)+3*7-1&gt;=$C108),1,""))</f>
        <v/>
      </c>
      <c r="H108" s="10">
        <f>IF(OR($C108="",$D108=""),"",IF(AND(DATE($B$1,1,1)+(4-1)*7&lt;=$D108,DATE($B$1,1,1)+4*7-1&gt;=$C108),1,""))</f>
        <v/>
      </c>
      <c r="I108" s="10">
        <f>IF(OR($C108="",$D108=""),"",IF(AND(DATE($B$1,1,1)+(5-1)*7&lt;=$D108,DATE($B$1,1,1)+5*7-1&gt;=$C108),1,""))</f>
        <v/>
      </c>
      <c r="J108" s="10">
        <f>IF(OR($C108="",$D108=""),"",IF(AND(DATE($B$1,1,1)+(6-1)*7&lt;=$D108,DATE($B$1,1,1)+6*7-1&gt;=$C108),1,""))</f>
        <v/>
      </c>
      <c r="K108" s="10">
        <f>IF(OR($C108="",$D108=""),"",IF(AND(DATE($B$1,1,1)+(7-1)*7&lt;=$D108,DATE($B$1,1,1)+7*7-1&gt;=$C108),1,""))</f>
        <v/>
      </c>
      <c r="L108" s="10">
        <f>IF(OR($C108="",$D108=""),"",IF(AND(DATE($B$1,1,1)+(8-1)*7&lt;=$D108,DATE($B$1,1,1)+8*7-1&gt;=$C108),1,""))</f>
        <v/>
      </c>
      <c r="M108" s="10">
        <f>IF(OR($C108="",$D108=""),"",IF(AND(DATE($B$1,1,1)+(9-1)*7&lt;=$D108,DATE($B$1,1,1)+9*7-1&gt;=$C108),1,""))</f>
        <v/>
      </c>
      <c r="N108" s="10">
        <f>IF(OR($C108="",$D108=""),"",IF(AND(DATE($B$1,1,1)+(10-1)*7&lt;=$D108,DATE($B$1,1,1)+10*7-1&gt;=$C108),1,""))</f>
        <v/>
      </c>
      <c r="O108" s="10">
        <f>IF(OR($C108="",$D108=""),"",IF(AND(DATE($B$1,1,1)+(11-1)*7&lt;=$D108,DATE($B$1,1,1)+11*7-1&gt;=$C108),1,""))</f>
        <v/>
      </c>
      <c r="P108" s="10">
        <f>IF(OR($C108="",$D108=""),"",IF(AND(DATE($B$1,1,1)+(12-1)*7&lt;=$D108,DATE($B$1,1,1)+12*7-1&gt;=$C108),1,""))</f>
        <v/>
      </c>
      <c r="Q108" s="10">
        <f>IF(OR($C108="",$D108=""),"",IF(AND(DATE($B$1,1,1)+(13-1)*7&lt;=$D108,DATE($B$1,1,1)+13*7-1&gt;=$C108),1,""))</f>
        <v/>
      </c>
      <c r="R108" s="10">
        <f>IF(OR($C108="",$D108=""),"",IF(AND(DATE($B$1,1,1)+(14-1)*7&lt;=$D108,DATE($B$1,1,1)+14*7-1&gt;=$C108),1,""))</f>
        <v/>
      </c>
      <c r="S108" s="10">
        <f>IF(OR($C108="",$D108=""),"",IF(AND(DATE($B$1,1,1)+(15-1)*7&lt;=$D108,DATE($B$1,1,1)+15*7-1&gt;=$C108),1,""))</f>
        <v/>
      </c>
      <c r="T108" s="10">
        <f>IF(OR($C108="",$D108=""),"",IF(AND(DATE($B$1,1,1)+(16-1)*7&lt;=$D108,DATE($B$1,1,1)+16*7-1&gt;=$C108),1,""))</f>
        <v/>
      </c>
      <c r="U108" s="10">
        <f>IF(OR($C108="",$D108=""),"",IF(AND(DATE($B$1,1,1)+(17-1)*7&lt;=$D108,DATE($B$1,1,1)+17*7-1&gt;=$C108),1,""))</f>
        <v/>
      </c>
      <c r="V108" s="10">
        <f>IF(OR($C108="",$D108=""),"",IF(AND(DATE($B$1,1,1)+(18-1)*7&lt;=$D108,DATE($B$1,1,1)+18*7-1&gt;=$C108),1,""))</f>
        <v/>
      </c>
      <c r="W108" s="10">
        <f>IF(OR($C108="",$D108=""),"",IF(AND(DATE($B$1,1,1)+(19-1)*7&lt;=$D108,DATE($B$1,1,1)+19*7-1&gt;=$C108),1,""))</f>
        <v/>
      </c>
      <c r="X108" s="10">
        <f>IF(OR($C108="",$D108=""),"",IF(AND(DATE($B$1,1,1)+(20-1)*7&lt;=$D108,DATE($B$1,1,1)+20*7-1&gt;=$C108),1,""))</f>
        <v/>
      </c>
      <c r="Y108" s="10">
        <f>IF(OR($C108="",$D108=""),"",IF(AND(DATE($B$1,1,1)+(21-1)*7&lt;=$D108,DATE($B$1,1,1)+21*7-1&gt;=$C108),1,""))</f>
        <v/>
      </c>
      <c r="Z108" s="10">
        <f>IF(OR($C108="",$D108=""),"",IF(AND(DATE($B$1,1,1)+(22-1)*7&lt;=$D108,DATE($B$1,1,1)+22*7-1&gt;=$C108),1,""))</f>
        <v/>
      </c>
      <c r="AA108" s="10">
        <f>IF(OR($C108="",$D108=""),"",IF(AND(DATE($B$1,1,1)+(23-1)*7&lt;=$D108,DATE($B$1,1,1)+23*7-1&gt;=$C108),1,""))</f>
        <v/>
      </c>
      <c r="AB108" s="10">
        <f>IF(OR($C108="",$D108=""),"",IF(AND(DATE($B$1,1,1)+(24-1)*7&lt;=$D108,DATE($B$1,1,1)+24*7-1&gt;=$C108),1,""))</f>
        <v/>
      </c>
      <c r="AC108" s="10">
        <f>IF(OR($C108="",$D108=""),"",IF(AND(DATE($B$1,1,1)+(25-1)*7&lt;=$D108,DATE($B$1,1,1)+25*7-1&gt;=$C108),1,""))</f>
        <v/>
      </c>
      <c r="AD108" s="10">
        <f>IF(OR($C108="",$D108=""),"",IF(AND(DATE($B$1,1,1)+(26-1)*7&lt;=$D108,DATE($B$1,1,1)+26*7-1&gt;=$C108),1,""))</f>
        <v/>
      </c>
      <c r="AE108" s="10">
        <f>IF(OR($C108="",$D108=""),"",IF(AND(DATE($B$1,1,1)+(27-1)*7&lt;=$D108,DATE($B$1,1,1)+27*7-1&gt;=$C108),1,""))</f>
        <v/>
      </c>
      <c r="AF108" s="10">
        <f>IF(OR($C108="",$D108=""),"",IF(AND(DATE($B$1,1,1)+(28-1)*7&lt;=$D108,DATE($B$1,1,1)+28*7-1&gt;=$C108),1,""))</f>
        <v/>
      </c>
      <c r="AG108" s="10">
        <f>IF(OR($C108="",$D108=""),"",IF(AND(DATE($B$1,1,1)+(29-1)*7&lt;=$D108,DATE($B$1,1,1)+29*7-1&gt;=$C108),1,""))</f>
        <v/>
      </c>
      <c r="AH108" s="10">
        <f>IF(OR($C108="",$D108=""),"",IF(AND(DATE($B$1,1,1)+(30-1)*7&lt;=$D108,DATE($B$1,1,1)+30*7-1&gt;=$C108),1,""))</f>
        <v/>
      </c>
      <c r="AI108" s="10">
        <f>IF(OR($C108="",$D108=""),"",IF(AND(DATE($B$1,1,1)+(31-1)*7&lt;=$D108,DATE($B$1,1,1)+31*7-1&gt;=$C108),1,""))</f>
        <v/>
      </c>
      <c r="AJ108" s="10">
        <f>IF(OR($C108="",$D108=""),"",IF(AND(DATE($B$1,1,1)+(32-1)*7&lt;=$D108,DATE($B$1,1,1)+32*7-1&gt;=$C108),1,""))</f>
        <v/>
      </c>
      <c r="AK108" s="10">
        <f>IF(OR($C108="",$D108=""),"",IF(AND(DATE($B$1,1,1)+(33-1)*7&lt;=$D108,DATE($B$1,1,1)+33*7-1&gt;=$C108),1,""))</f>
        <v/>
      </c>
      <c r="AL108" s="10">
        <f>IF(OR($C108="",$D108=""),"",IF(AND(DATE($B$1,1,1)+(34-1)*7&lt;=$D108,DATE($B$1,1,1)+34*7-1&gt;=$C108),1,""))</f>
        <v/>
      </c>
      <c r="AM108" s="10">
        <f>IF(OR($C108="",$D108=""),"",IF(AND(DATE($B$1,1,1)+(35-1)*7&lt;=$D108,DATE($B$1,1,1)+35*7-1&gt;=$C108),1,""))</f>
        <v/>
      </c>
      <c r="AN108" s="10">
        <f>IF(OR($C108="",$D108=""),"",IF(AND(DATE($B$1,1,1)+(36-1)*7&lt;=$D108,DATE($B$1,1,1)+36*7-1&gt;=$C108),1,""))</f>
        <v/>
      </c>
      <c r="AO108" s="10">
        <f>IF(OR($C108="",$D108=""),"",IF(AND(DATE($B$1,1,1)+(37-1)*7&lt;=$D108,DATE($B$1,1,1)+37*7-1&gt;=$C108),1,""))</f>
        <v/>
      </c>
      <c r="AP108" s="10">
        <f>IF(OR($C108="",$D108=""),"",IF(AND(DATE($B$1,1,1)+(38-1)*7&lt;=$D108,DATE($B$1,1,1)+38*7-1&gt;=$C108),1,""))</f>
        <v/>
      </c>
      <c r="AQ108" s="10">
        <f>IF(OR($C108="",$D108=""),"",IF(AND(DATE($B$1,1,1)+(39-1)*7&lt;=$D108,DATE($B$1,1,1)+39*7-1&gt;=$C108),1,""))</f>
        <v/>
      </c>
      <c r="AR108" s="10">
        <f>IF(OR($C108="",$D108=""),"",IF(AND(DATE($B$1,1,1)+(40-1)*7&lt;=$D108,DATE($B$1,1,1)+40*7-1&gt;=$C108),1,""))</f>
        <v/>
      </c>
      <c r="AS108" s="10">
        <f>IF(OR($C108="",$D108=""),"",IF(AND(DATE($B$1,1,1)+(41-1)*7&lt;=$D108,DATE($B$1,1,1)+41*7-1&gt;=$C108),1,""))</f>
        <v/>
      </c>
      <c r="AT108" s="10">
        <f>IF(OR($C108="",$D108=""),"",IF(AND(DATE($B$1,1,1)+(42-1)*7&lt;=$D108,DATE($B$1,1,1)+42*7-1&gt;=$C108),1,""))</f>
        <v/>
      </c>
      <c r="AU108" s="10">
        <f>IF(OR($C108="",$D108=""),"",IF(AND(DATE($B$1,1,1)+(43-1)*7&lt;=$D108,DATE($B$1,1,1)+43*7-1&gt;=$C108),1,""))</f>
        <v/>
      </c>
      <c r="AV108" s="10">
        <f>IF(OR($C108="",$D108=""),"",IF(AND(DATE($B$1,1,1)+(44-1)*7&lt;=$D108,DATE($B$1,1,1)+44*7-1&gt;=$C108),1,""))</f>
        <v/>
      </c>
      <c r="AW108" s="10">
        <f>IF(OR($C108="",$D108=""),"",IF(AND(DATE($B$1,1,1)+(45-1)*7&lt;=$D108,DATE($B$1,1,1)+45*7-1&gt;=$C108),1,""))</f>
        <v/>
      </c>
      <c r="AX108" s="10">
        <f>IF(OR($C108="",$D108=""),"",IF(AND(DATE($B$1,1,1)+(46-1)*7&lt;=$D108,DATE($B$1,1,1)+46*7-1&gt;=$C108),1,""))</f>
        <v/>
      </c>
      <c r="AY108" s="10">
        <f>IF(OR($C108="",$D108=""),"",IF(AND(DATE($B$1,1,1)+(47-1)*7&lt;=$D108,DATE($B$1,1,1)+47*7-1&gt;=$C108),1,""))</f>
        <v/>
      </c>
      <c r="AZ108" s="10">
        <f>IF(OR($C108="",$D108=""),"",IF(AND(DATE($B$1,1,1)+(48-1)*7&lt;=$D108,DATE($B$1,1,1)+48*7-1&gt;=$C108),1,""))</f>
        <v/>
      </c>
      <c r="BA108" s="10">
        <f>IF(OR($C108="",$D108=""),"",IF(AND(DATE($B$1,1,1)+(49-1)*7&lt;=$D108,DATE($B$1,1,1)+49*7-1&gt;=$C108),1,""))</f>
        <v/>
      </c>
      <c r="BB108" s="10">
        <f>IF(OR($C108="",$D108=""),"",IF(AND(DATE($B$1,1,1)+(50-1)*7&lt;=$D108,DATE($B$1,1,1)+50*7-1&gt;=$C108),1,""))</f>
        <v/>
      </c>
      <c r="BC108" s="10">
        <f>IF(OR($C108="",$D108=""),"",IF(AND(DATE($B$1,1,1)+(51-1)*7&lt;=$D108,DATE($B$1,1,1)+51*7-1&gt;=$C108),1,""))</f>
        <v/>
      </c>
      <c r="BD108" s="10">
        <f>IF(OR($C108="",$D108=""),"",IF(AND(DATE($B$1,1,1)+(52-1)*7&lt;=$D108,DATE($B$1,1,1)+52*7-1&gt;=$C108),1,""))</f>
        <v/>
      </c>
      <c r="BE108" s="10">
        <f>IF(OR($C108="",$D108=""),"",IF(AND(DATE($B$1,1,1)+(53-1)*7&lt;=$D108,DATE($B$1,1,1)+53*7-1&gt;=$C108),1,""))</f>
        <v/>
      </c>
      <c r="BF108" s="10">
        <f>IF(OR($C108="",$D108=""),"",IF(AND(DATE($B$1,1,1)+(54-1)*7&lt;=$D108,DATE($B$1,1,1)+54*7-1&gt;=$C108),1,""))</f>
        <v/>
      </c>
    </row>
    <row r="109">
      <c r="A109" s="6" t="n"/>
      <c r="B109" s="6" t="n"/>
      <c r="C109" s="11" t="n"/>
      <c r="D109" s="11" t="n"/>
      <c r="E109" s="10">
        <f>IF(OR($C109="",$D109=""),"",IF(AND(DATE($B$1,1,1)+(1-1)*7&lt;=$D109,DATE($B$1,1,1)+1*7-1&gt;=$C109),1,""))</f>
        <v/>
      </c>
      <c r="F109" s="10">
        <f>IF(OR($C109="",$D109=""),"",IF(AND(DATE($B$1,1,1)+(2-1)*7&lt;=$D109,DATE($B$1,1,1)+2*7-1&gt;=$C109),1,""))</f>
        <v/>
      </c>
      <c r="G109" s="10">
        <f>IF(OR($C109="",$D109=""),"",IF(AND(DATE($B$1,1,1)+(3-1)*7&lt;=$D109,DATE($B$1,1,1)+3*7-1&gt;=$C109),1,""))</f>
        <v/>
      </c>
      <c r="H109" s="10">
        <f>IF(OR($C109="",$D109=""),"",IF(AND(DATE($B$1,1,1)+(4-1)*7&lt;=$D109,DATE($B$1,1,1)+4*7-1&gt;=$C109),1,""))</f>
        <v/>
      </c>
      <c r="I109" s="10">
        <f>IF(OR($C109="",$D109=""),"",IF(AND(DATE($B$1,1,1)+(5-1)*7&lt;=$D109,DATE($B$1,1,1)+5*7-1&gt;=$C109),1,""))</f>
        <v/>
      </c>
      <c r="J109" s="10">
        <f>IF(OR($C109="",$D109=""),"",IF(AND(DATE($B$1,1,1)+(6-1)*7&lt;=$D109,DATE($B$1,1,1)+6*7-1&gt;=$C109),1,""))</f>
        <v/>
      </c>
      <c r="K109" s="10">
        <f>IF(OR($C109="",$D109=""),"",IF(AND(DATE($B$1,1,1)+(7-1)*7&lt;=$D109,DATE($B$1,1,1)+7*7-1&gt;=$C109),1,""))</f>
        <v/>
      </c>
      <c r="L109" s="10">
        <f>IF(OR($C109="",$D109=""),"",IF(AND(DATE($B$1,1,1)+(8-1)*7&lt;=$D109,DATE($B$1,1,1)+8*7-1&gt;=$C109),1,""))</f>
        <v/>
      </c>
      <c r="M109" s="10">
        <f>IF(OR($C109="",$D109=""),"",IF(AND(DATE($B$1,1,1)+(9-1)*7&lt;=$D109,DATE($B$1,1,1)+9*7-1&gt;=$C109),1,""))</f>
        <v/>
      </c>
      <c r="N109" s="10">
        <f>IF(OR($C109="",$D109=""),"",IF(AND(DATE($B$1,1,1)+(10-1)*7&lt;=$D109,DATE($B$1,1,1)+10*7-1&gt;=$C109),1,""))</f>
        <v/>
      </c>
      <c r="O109" s="10">
        <f>IF(OR($C109="",$D109=""),"",IF(AND(DATE($B$1,1,1)+(11-1)*7&lt;=$D109,DATE($B$1,1,1)+11*7-1&gt;=$C109),1,""))</f>
        <v/>
      </c>
      <c r="P109" s="10">
        <f>IF(OR($C109="",$D109=""),"",IF(AND(DATE($B$1,1,1)+(12-1)*7&lt;=$D109,DATE($B$1,1,1)+12*7-1&gt;=$C109),1,""))</f>
        <v/>
      </c>
      <c r="Q109" s="10">
        <f>IF(OR($C109="",$D109=""),"",IF(AND(DATE($B$1,1,1)+(13-1)*7&lt;=$D109,DATE($B$1,1,1)+13*7-1&gt;=$C109),1,""))</f>
        <v/>
      </c>
      <c r="R109" s="10">
        <f>IF(OR($C109="",$D109=""),"",IF(AND(DATE($B$1,1,1)+(14-1)*7&lt;=$D109,DATE($B$1,1,1)+14*7-1&gt;=$C109),1,""))</f>
        <v/>
      </c>
      <c r="S109" s="10">
        <f>IF(OR($C109="",$D109=""),"",IF(AND(DATE($B$1,1,1)+(15-1)*7&lt;=$D109,DATE($B$1,1,1)+15*7-1&gt;=$C109),1,""))</f>
        <v/>
      </c>
      <c r="T109" s="10">
        <f>IF(OR($C109="",$D109=""),"",IF(AND(DATE($B$1,1,1)+(16-1)*7&lt;=$D109,DATE($B$1,1,1)+16*7-1&gt;=$C109),1,""))</f>
        <v/>
      </c>
      <c r="U109" s="10">
        <f>IF(OR($C109="",$D109=""),"",IF(AND(DATE($B$1,1,1)+(17-1)*7&lt;=$D109,DATE($B$1,1,1)+17*7-1&gt;=$C109),1,""))</f>
        <v/>
      </c>
      <c r="V109" s="10">
        <f>IF(OR($C109="",$D109=""),"",IF(AND(DATE($B$1,1,1)+(18-1)*7&lt;=$D109,DATE($B$1,1,1)+18*7-1&gt;=$C109),1,""))</f>
        <v/>
      </c>
      <c r="W109" s="10">
        <f>IF(OR($C109="",$D109=""),"",IF(AND(DATE($B$1,1,1)+(19-1)*7&lt;=$D109,DATE($B$1,1,1)+19*7-1&gt;=$C109),1,""))</f>
        <v/>
      </c>
      <c r="X109" s="10">
        <f>IF(OR($C109="",$D109=""),"",IF(AND(DATE($B$1,1,1)+(20-1)*7&lt;=$D109,DATE($B$1,1,1)+20*7-1&gt;=$C109),1,""))</f>
        <v/>
      </c>
      <c r="Y109" s="10">
        <f>IF(OR($C109="",$D109=""),"",IF(AND(DATE($B$1,1,1)+(21-1)*7&lt;=$D109,DATE($B$1,1,1)+21*7-1&gt;=$C109),1,""))</f>
        <v/>
      </c>
      <c r="Z109" s="10">
        <f>IF(OR($C109="",$D109=""),"",IF(AND(DATE($B$1,1,1)+(22-1)*7&lt;=$D109,DATE($B$1,1,1)+22*7-1&gt;=$C109),1,""))</f>
        <v/>
      </c>
      <c r="AA109" s="10">
        <f>IF(OR($C109="",$D109=""),"",IF(AND(DATE($B$1,1,1)+(23-1)*7&lt;=$D109,DATE($B$1,1,1)+23*7-1&gt;=$C109),1,""))</f>
        <v/>
      </c>
      <c r="AB109" s="10">
        <f>IF(OR($C109="",$D109=""),"",IF(AND(DATE($B$1,1,1)+(24-1)*7&lt;=$D109,DATE($B$1,1,1)+24*7-1&gt;=$C109),1,""))</f>
        <v/>
      </c>
      <c r="AC109" s="10">
        <f>IF(OR($C109="",$D109=""),"",IF(AND(DATE($B$1,1,1)+(25-1)*7&lt;=$D109,DATE($B$1,1,1)+25*7-1&gt;=$C109),1,""))</f>
        <v/>
      </c>
      <c r="AD109" s="10">
        <f>IF(OR($C109="",$D109=""),"",IF(AND(DATE($B$1,1,1)+(26-1)*7&lt;=$D109,DATE($B$1,1,1)+26*7-1&gt;=$C109),1,""))</f>
        <v/>
      </c>
      <c r="AE109" s="10">
        <f>IF(OR($C109="",$D109=""),"",IF(AND(DATE($B$1,1,1)+(27-1)*7&lt;=$D109,DATE($B$1,1,1)+27*7-1&gt;=$C109),1,""))</f>
        <v/>
      </c>
      <c r="AF109" s="10">
        <f>IF(OR($C109="",$D109=""),"",IF(AND(DATE($B$1,1,1)+(28-1)*7&lt;=$D109,DATE($B$1,1,1)+28*7-1&gt;=$C109),1,""))</f>
        <v/>
      </c>
      <c r="AG109" s="10">
        <f>IF(OR($C109="",$D109=""),"",IF(AND(DATE($B$1,1,1)+(29-1)*7&lt;=$D109,DATE($B$1,1,1)+29*7-1&gt;=$C109),1,""))</f>
        <v/>
      </c>
      <c r="AH109" s="10">
        <f>IF(OR($C109="",$D109=""),"",IF(AND(DATE($B$1,1,1)+(30-1)*7&lt;=$D109,DATE($B$1,1,1)+30*7-1&gt;=$C109),1,""))</f>
        <v/>
      </c>
      <c r="AI109" s="10">
        <f>IF(OR($C109="",$D109=""),"",IF(AND(DATE($B$1,1,1)+(31-1)*7&lt;=$D109,DATE($B$1,1,1)+31*7-1&gt;=$C109),1,""))</f>
        <v/>
      </c>
      <c r="AJ109" s="10">
        <f>IF(OR($C109="",$D109=""),"",IF(AND(DATE($B$1,1,1)+(32-1)*7&lt;=$D109,DATE($B$1,1,1)+32*7-1&gt;=$C109),1,""))</f>
        <v/>
      </c>
      <c r="AK109" s="10">
        <f>IF(OR($C109="",$D109=""),"",IF(AND(DATE($B$1,1,1)+(33-1)*7&lt;=$D109,DATE($B$1,1,1)+33*7-1&gt;=$C109),1,""))</f>
        <v/>
      </c>
      <c r="AL109" s="10">
        <f>IF(OR($C109="",$D109=""),"",IF(AND(DATE($B$1,1,1)+(34-1)*7&lt;=$D109,DATE($B$1,1,1)+34*7-1&gt;=$C109),1,""))</f>
        <v/>
      </c>
      <c r="AM109" s="10">
        <f>IF(OR($C109="",$D109=""),"",IF(AND(DATE($B$1,1,1)+(35-1)*7&lt;=$D109,DATE($B$1,1,1)+35*7-1&gt;=$C109),1,""))</f>
        <v/>
      </c>
      <c r="AN109" s="10">
        <f>IF(OR($C109="",$D109=""),"",IF(AND(DATE($B$1,1,1)+(36-1)*7&lt;=$D109,DATE($B$1,1,1)+36*7-1&gt;=$C109),1,""))</f>
        <v/>
      </c>
      <c r="AO109" s="10">
        <f>IF(OR($C109="",$D109=""),"",IF(AND(DATE($B$1,1,1)+(37-1)*7&lt;=$D109,DATE($B$1,1,1)+37*7-1&gt;=$C109),1,""))</f>
        <v/>
      </c>
      <c r="AP109" s="10">
        <f>IF(OR($C109="",$D109=""),"",IF(AND(DATE($B$1,1,1)+(38-1)*7&lt;=$D109,DATE($B$1,1,1)+38*7-1&gt;=$C109),1,""))</f>
        <v/>
      </c>
      <c r="AQ109" s="10">
        <f>IF(OR($C109="",$D109=""),"",IF(AND(DATE($B$1,1,1)+(39-1)*7&lt;=$D109,DATE($B$1,1,1)+39*7-1&gt;=$C109),1,""))</f>
        <v/>
      </c>
      <c r="AR109" s="10">
        <f>IF(OR($C109="",$D109=""),"",IF(AND(DATE($B$1,1,1)+(40-1)*7&lt;=$D109,DATE($B$1,1,1)+40*7-1&gt;=$C109),1,""))</f>
        <v/>
      </c>
      <c r="AS109" s="10">
        <f>IF(OR($C109="",$D109=""),"",IF(AND(DATE($B$1,1,1)+(41-1)*7&lt;=$D109,DATE($B$1,1,1)+41*7-1&gt;=$C109),1,""))</f>
        <v/>
      </c>
      <c r="AT109" s="10">
        <f>IF(OR($C109="",$D109=""),"",IF(AND(DATE($B$1,1,1)+(42-1)*7&lt;=$D109,DATE($B$1,1,1)+42*7-1&gt;=$C109),1,""))</f>
        <v/>
      </c>
      <c r="AU109" s="10">
        <f>IF(OR($C109="",$D109=""),"",IF(AND(DATE($B$1,1,1)+(43-1)*7&lt;=$D109,DATE($B$1,1,1)+43*7-1&gt;=$C109),1,""))</f>
        <v/>
      </c>
      <c r="AV109" s="10">
        <f>IF(OR($C109="",$D109=""),"",IF(AND(DATE($B$1,1,1)+(44-1)*7&lt;=$D109,DATE($B$1,1,1)+44*7-1&gt;=$C109),1,""))</f>
        <v/>
      </c>
      <c r="AW109" s="10">
        <f>IF(OR($C109="",$D109=""),"",IF(AND(DATE($B$1,1,1)+(45-1)*7&lt;=$D109,DATE($B$1,1,1)+45*7-1&gt;=$C109),1,""))</f>
        <v/>
      </c>
      <c r="AX109" s="10">
        <f>IF(OR($C109="",$D109=""),"",IF(AND(DATE($B$1,1,1)+(46-1)*7&lt;=$D109,DATE($B$1,1,1)+46*7-1&gt;=$C109),1,""))</f>
        <v/>
      </c>
      <c r="AY109" s="10">
        <f>IF(OR($C109="",$D109=""),"",IF(AND(DATE($B$1,1,1)+(47-1)*7&lt;=$D109,DATE($B$1,1,1)+47*7-1&gt;=$C109),1,""))</f>
        <v/>
      </c>
      <c r="AZ109" s="10">
        <f>IF(OR($C109="",$D109=""),"",IF(AND(DATE($B$1,1,1)+(48-1)*7&lt;=$D109,DATE($B$1,1,1)+48*7-1&gt;=$C109),1,""))</f>
        <v/>
      </c>
      <c r="BA109" s="10">
        <f>IF(OR($C109="",$D109=""),"",IF(AND(DATE($B$1,1,1)+(49-1)*7&lt;=$D109,DATE($B$1,1,1)+49*7-1&gt;=$C109),1,""))</f>
        <v/>
      </c>
      <c r="BB109" s="10">
        <f>IF(OR($C109="",$D109=""),"",IF(AND(DATE($B$1,1,1)+(50-1)*7&lt;=$D109,DATE($B$1,1,1)+50*7-1&gt;=$C109),1,""))</f>
        <v/>
      </c>
      <c r="BC109" s="10">
        <f>IF(OR($C109="",$D109=""),"",IF(AND(DATE($B$1,1,1)+(51-1)*7&lt;=$D109,DATE($B$1,1,1)+51*7-1&gt;=$C109),1,""))</f>
        <v/>
      </c>
      <c r="BD109" s="10">
        <f>IF(OR($C109="",$D109=""),"",IF(AND(DATE($B$1,1,1)+(52-1)*7&lt;=$D109,DATE($B$1,1,1)+52*7-1&gt;=$C109),1,""))</f>
        <v/>
      </c>
      <c r="BE109" s="10">
        <f>IF(OR($C109="",$D109=""),"",IF(AND(DATE($B$1,1,1)+(53-1)*7&lt;=$D109,DATE($B$1,1,1)+53*7-1&gt;=$C109),1,""))</f>
        <v/>
      </c>
      <c r="BF109" s="10">
        <f>IF(OR($C109="",$D109=""),"",IF(AND(DATE($B$1,1,1)+(54-1)*7&lt;=$D109,DATE($B$1,1,1)+54*7-1&gt;=$C109),1,""))</f>
        <v/>
      </c>
    </row>
    <row r="110">
      <c r="A110" s="6" t="n"/>
      <c r="B110" s="6" t="n"/>
      <c r="C110" s="11" t="n"/>
      <c r="D110" s="11" t="n"/>
      <c r="E110" s="10">
        <f>IF(OR($C110="",$D110=""),"",IF(AND(DATE($B$1,1,1)+(1-1)*7&lt;=$D110,DATE($B$1,1,1)+1*7-1&gt;=$C110),1,""))</f>
        <v/>
      </c>
      <c r="F110" s="10">
        <f>IF(OR($C110="",$D110=""),"",IF(AND(DATE($B$1,1,1)+(2-1)*7&lt;=$D110,DATE($B$1,1,1)+2*7-1&gt;=$C110),1,""))</f>
        <v/>
      </c>
      <c r="G110" s="10">
        <f>IF(OR($C110="",$D110=""),"",IF(AND(DATE($B$1,1,1)+(3-1)*7&lt;=$D110,DATE($B$1,1,1)+3*7-1&gt;=$C110),1,""))</f>
        <v/>
      </c>
      <c r="H110" s="10">
        <f>IF(OR($C110="",$D110=""),"",IF(AND(DATE($B$1,1,1)+(4-1)*7&lt;=$D110,DATE($B$1,1,1)+4*7-1&gt;=$C110),1,""))</f>
        <v/>
      </c>
      <c r="I110" s="10">
        <f>IF(OR($C110="",$D110=""),"",IF(AND(DATE($B$1,1,1)+(5-1)*7&lt;=$D110,DATE($B$1,1,1)+5*7-1&gt;=$C110),1,""))</f>
        <v/>
      </c>
      <c r="J110" s="10">
        <f>IF(OR($C110="",$D110=""),"",IF(AND(DATE($B$1,1,1)+(6-1)*7&lt;=$D110,DATE($B$1,1,1)+6*7-1&gt;=$C110),1,""))</f>
        <v/>
      </c>
      <c r="K110" s="10">
        <f>IF(OR($C110="",$D110=""),"",IF(AND(DATE($B$1,1,1)+(7-1)*7&lt;=$D110,DATE($B$1,1,1)+7*7-1&gt;=$C110),1,""))</f>
        <v/>
      </c>
      <c r="L110" s="10">
        <f>IF(OR($C110="",$D110=""),"",IF(AND(DATE($B$1,1,1)+(8-1)*7&lt;=$D110,DATE($B$1,1,1)+8*7-1&gt;=$C110),1,""))</f>
        <v/>
      </c>
      <c r="M110" s="10">
        <f>IF(OR($C110="",$D110=""),"",IF(AND(DATE($B$1,1,1)+(9-1)*7&lt;=$D110,DATE($B$1,1,1)+9*7-1&gt;=$C110),1,""))</f>
        <v/>
      </c>
      <c r="N110" s="10">
        <f>IF(OR($C110="",$D110=""),"",IF(AND(DATE($B$1,1,1)+(10-1)*7&lt;=$D110,DATE($B$1,1,1)+10*7-1&gt;=$C110),1,""))</f>
        <v/>
      </c>
      <c r="O110" s="10">
        <f>IF(OR($C110="",$D110=""),"",IF(AND(DATE($B$1,1,1)+(11-1)*7&lt;=$D110,DATE($B$1,1,1)+11*7-1&gt;=$C110),1,""))</f>
        <v/>
      </c>
      <c r="P110" s="10">
        <f>IF(OR($C110="",$D110=""),"",IF(AND(DATE($B$1,1,1)+(12-1)*7&lt;=$D110,DATE($B$1,1,1)+12*7-1&gt;=$C110),1,""))</f>
        <v/>
      </c>
      <c r="Q110" s="10">
        <f>IF(OR($C110="",$D110=""),"",IF(AND(DATE($B$1,1,1)+(13-1)*7&lt;=$D110,DATE($B$1,1,1)+13*7-1&gt;=$C110),1,""))</f>
        <v/>
      </c>
      <c r="R110" s="10">
        <f>IF(OR($C110="",$D110=""),"",IF(AND(DATE($B$1,1,1)+(14-1)*7&lt;=$D110,DATE($B$1,1,1)+14*7-1&gt;=$C110),1,""))</f>
        <v/>
      </c>
      <c r="S110" s="10">
        <f>IF(OR($C110="",$D110=""),"",IF(AND(DATE($B$1,1,1)+(15-1)*7&lt;=$D110,DATE($B$1,1,1)+15*7-1&gt;=$C110),1,""))</f>
        <v/>
      </c>
      <c r="T110" s="10">
        <f>IF(OR($C110="",$D110=""),"",IF(AND(DATE($B$1,1,1)+(16-1)*7&lt;=$D110,DATE($B$1,1,1)+16*7-1&gt;=$C110),1,""))</f>
        <v/>
      </c>
      <c r="U110" s="10">
        <f>IF(OR($C110="",$D110=""),"",IF(AND(DATE($B$1,1,1)+(17-1)*7&lt;=$D110,DATE($B$1,1,1)+17*7-1&gt;=$C110),1,""))</f>
        <v/>
      </c>
      <c r="V110" s="10">
        <f>IF(OR($C110="",$D110=""),"",IF(AND(DATE($B$1,1,1)+(18-1)*7&lt;=$D110,DATE($B$1,1,1)+18*7-1&gt;=$C110),1,""))</f>
        <v/>
      </c>
      <c r="W110" s="10">
        <f>IF(OR($C110="",$D110=""),"",IF(AND(DATE($B$1,1,1)+(19-1)*7&lt;=$D110,DATE($B$1,1,1)+19*7-1&gt;=$C110),1,""))</f>
        <v/>
      </c>
      <c r="X110" s="10">
        <f>IF(OR($C110="",$D110=""),"",IF(AND(DATE($B$1,1,1)+(20-1)*7&lt;=$D110,DATE($B$1,1,1)+20*7-1&gt;=$C110),1,""))</f>
        <v/>
      </c>
      <c r="Y110" s="10">
        <f>IF(OR($C110="",$D110=""),"",IF(AND(DATE($B$1,1,1)+(21-1)*7&lt;=$D110,DATE($B$1,1,1)+21*7-1&gt;=$C110),1,""))</f>
        <v/>
      </c>
      <c r="Z110" s="10">
        <f>IF(OR($C110="",$D110=""),"",IF(AND(DATE($B$1,1,1)+(22-1)*7&lt;=$D110,DATE($B$1,1,1)+22*7-1&gt;=$C110),1,""))</f>
        <v/>
      </c>
      <c r="AA110" s="10">
        <f>IF(OR($C110="",$D110=""),"",IF(AND(DATE($B$1,1,1)+(23-1)*7&lt;=$D110,DATE($B$1,1,1)+23*7-1&gt;=$C110),1,""))</f>
        <v/>
      </c>
      <c r="AB110" s="10">
        <f>IF(OR($C110="",$D110=""),"",IF(AND(DATE($B$1,1,1)+(24-1)*7&lt;=$D110,DATE($B$1,1,1)+24*7-1&gt;=$C110),1,""))</f>
        <v/>
      </c>
      <c r="AC110" s="10">
        <f>IF(OR($C110="",$D110=""),"",IF(AND(DATE($B$1,1,1)+(25-1)*7&lt;=$D110,DATE($B$1,1,1)+25*7-1&gt;=$C110),1,""))</f>
        <v/>
      </c>
      <c r="AD110" s="10">
        <f>IF(OR($C110="",$D110=""),"",IF(AND(DATE($B$1,1,1)+(26-1)*7&lt;=$D110,DATE($B$1,1,1)+26*7-1&gt;=$C110),1,""))</f>
        <v/>
      </c>
      <c r="AE110" s="10">
        <f>IF(OR($C110="",$D110=""),"",IF(AND(DATE($B$1,1,1)+(27-1)*7&lt;=$D110,DATE($B$1,1,1)+27*7-1&gt;=$C110),1,""))</f>
        <v/>
      </c>
      <c r="AF110" s="10">
        <f>IF(OR($C110="",$D110=""),"",IF(AND(DATE($B$1,1,1)+(28-1)*7&lt;=$D110,DATE($B$1,1,1)+28*7-1&gt;=$C110),1,""))</f>
        <v/>
      </c>
      <c r="AG110" s="10">
        <f>IF(OR($C110="",$D110=""),"",IF(AND(DATE($B$1,1,1)+(29-1)*7&lt;=$D110,DATE($B$1,1,1)+29*7-1&gt;=$C110),1,""))</f>
        <v/>
      </c>
      <c r="AH110" s="10">
        <f>IF(OR($C110="",$D110=""),"",IF(AND(DATE($B$1,1,1)+(30-1)*7&lt;=$D110,DATE($B$1,1,1)+30*7-1&gt;=$C110),1,""))</f>
        <v/>
      </c>
      <c r="AI110" s="10">
        <f>IF(OR($C110="",$D110=""),"",IF(AND(DATE($B$1,1,1)+(31-1)*7&lt;=$D110,DATE($B$1,1,1)+31*7-1&gt;=$C110),1,""))</f>
        <v/>
      </c>
      <c r="AJ110" s="10">
        <f>IF(OR($C110="",$D110=""),"",IF(AND(DATE($B$1,1,1)+(32-1)*7&lt;=$D110,DATE($B$1,1,1)+32*7-1&gt;=$C110),1,""))</f>
        <v/>
      </c>
      <c r="AK110" s="10">
        <f>IF(OR($C110="",$D110=""),"",IF(AND(DATE($B$1,1,1)+(33-1)*7&lt;=$D110,DATE($B$1,1,1)+33*7-1&gt;=$C110),1,""))</f>
        <v/>
      </c>
      <c r="AL110" s="10">
        <f>IF(OR($C110="",$D110=""),"",IF(AND(DATE($B$1,1,1)+(34-1)*7&lt;=$D110,DATE($B$1,1,1)+34*7-1&gt;=$C110),1,""))</f>
        <v/>
      </c>
      <c r="AM110" s="10">
        <f>IF(OR($C110="",$D110=""),"",IF(AND(DATE($B$1,1,1)+(35-1)*7&lt;=$D110,DATE($B$1,1,1)+35*7-1&gt;=$C110),1,""))</f>
        <v/>
      </c>
      <c r="AN110" s="10">
        <f>IF(OR($C110="",$D110=""),"",IF(AND(DATE($B$1,1,1)+(36-1)*7&lt;=$D110,DATE($B$1,1,1)+36*7-1&gt;=$C110),1,""))</f>
        <v/>
      </c>
      <c r="AO110" s="10">
        <f>IF(OR($C110="",$D110=""),"",IF(AND(DATE($B$1,1,1)+(37-1)*7&lt;=$D110,DATE($B$1,1,1)+37*7-1&gt;=$C110),1,""))</f>
        <v/>
      </c>
      <c r="AP110" s="10">
        <f>IF(OR($C110="",$D110=""),"",IF(AND(DATE($B$1,1,1)+(38-1)*7&lt;=$D110,DATE($B$1,1,1)+38*7-1&gt;=$C110),1,""))</f>
        <v/>
      </c>
      <c r="AQ110" s="10">
        <f>IF(OR($C110="",$D110=""),"",IF(AND(DATE($B$1,1,1)+(39-1)*7&lt;=$D110,DATE($B$1,1,1)+39*7-1&gt;=$C110),1,""))</f>
        <v/>
      </c>
      <c r="AR110" s="10">
        <f>IF(OR($C110="",$D110=""),"",IF(AND(DATE($B$1,1,1)+(40-1)*7&lt;=$D110,DATE($B$1,1,1)+40*7-1&gt;=$C110),1,""))</f>
        <v/>
      </c>
      <c r="AS110" s="10">
        <f>IF(OR($C110="",$D110=""),"",IF(AND(DATE($B$1,1,1)+(41-1)*7&lt;=$D110,DATE($B$1,1,1)+41*7-1&gt;=$C110),1,""))</f>
        <v/>
      </c>
      <c r="AT110" s="10">
        <f>IF(OR($C110="",$D110=""),"",IF(AND(DATE($B$1,1,1)+(42-1)*7&lt;=$D110,DATE($B$1,1,1)+42*7-1&gt;=$C110),1,""))</f>
        <v/>
      </c>
      <c r="AU110" s="10">
        <f>IF(OR($C110="",$D110=""),"",IF(AND(DATE($B$1,1,1)+(43-1)*7&lt;=$D110,DATE($B$1,1,1)+43*7-1&gt;=$C110),1,""))</f>
        <v/>
      </c>
      <c r="AV110" s="10">
        <f>IF(OR($C110="",$D110=""),"",IF(AND(DATE($B$1,1,1)+(44-1)*7&lt;=$D110,DATE($B$1,1,1)+44*7-1&gt;=$C110),1,""))</f>
        <v/>
      </c>
      <c r="AW110" s="10">
        <f>IF(OR($C110="",$D110=""),"",IF(AND(DATE($B$1,1,1)+(45-1)*7&lt;=$D110,DATE($B$1,1,1)+45*7-1&gt;=$C110),1,""))</f>
        <v/>
      </c>
      <c r="AX110" s="10">
        <f>IF(OR($C110="",$D110=""),"",IF(AND(DATE($B$1,1,1)+(46-1)*7&lt;=$D110,DATE($B$1,1,1)+46*7-1&gt;=$C110),1,""))</f>
        <v/>
      </c>
      <c r="AY110" s="10">
        <f>IF(OR($C110="",$D110=""),"",IF(AND(DATE($B$1,1,1)+(47-1)*7&lt;=$D110,DATE($B$1,1,1)+47*7-1&gt;=$C110),1,""))</f>
        <v/>
      </c>
      <c r="AZ110" s="10">
        <f>IF(OR($C110="",$D110=""),"",IF(AND(DATE($B$1,1,1)+(48-1)*7&lt;=$D110,DATE($B$1,1,1)+48*7-1&gt;=$C110),1,""))</f>
        <v/>
      </c>
      <c r="BA110" s="10">
        <f>IF(OR($C110="",$D110=""),"",IF(AND(DATE($B$1,1,1)+(49-1)*7&lt;=$D110,DATE($B$1,1,1)+49*7-1&gt;=$C110),1,""))</f>
        <v/>
      </c>
      <c r="BB110" s="10">
        <f>IF(OR($C110="",$D110=""),"",IF(AND(DATE($B$1,1,1)+(50-1)*7&lt;=$D110,DATE($B$1,1,1)+50*7-1&gt;=$C110),1,""))</f>
        <v/>
      </c>
      <c r="BC110" s="10">
        <f>IF(OR($C110="",$D110=""),"",IF(AND(DATE($B$1,1,1)+(51-1)*7&lt;=$D110,DATE($B$1,1,1)+51*7-1&gt;=$C110),1,""))</f>
        <v/>
      </c>
      <c r="BD110" s="10">
        <f>IF(OR($C110="",$D110=""),"",IF(AND(DATE($B$1,1,1)+(52-1)*7&lt;=$D110,DATE($B$1,1,1)+52*7-1&gt;=$C110),1,""))</f>
        <v/>
      </c>
      <c r="BE110" s="10">
        <f>IF(OR($C110="",$D110=""),"",IF(AND(DATE($B$1,1,1)+(53-1)*7&lt;=$D110,DATE($B$1,1,1)+53*7-1&gt;=$C110),1,""))</f>
        <v/>
      </c>
      <c r="BF110" s="10">
        <f>IF(OR($C110="",$D110=""),"",IF(AND(DATE($B$1,1,1)+(54-1)*7&lt;=$D110,DATE($B$1,1,1)+54*7-1&gt;=$C110),1,""))</f>
        <v/>
      </c>
    </row>
    <row r="111">
      <c r="A111" s="6" t="n"/>
      <c r="B111" s="6" t="n"/>
      <c r="C111" s="11" t="n"/>
      <c r="D111" s="11" t="n"/>
      <c r="E111" s="10">
        <f>IF(OR($C111="",$D111=""),"",IF(AND(DATE($B$1,1,1)+(1-1)*7&lt;=$D111,DATE($B$1,1,1)+1*7-1&gt;=$C111),1,""))</f>
        <v/>
      </c>
      <c r="F111" s="10">
        <f>IF(OR($C111="",$D111=""),"",IF(AND(DATE($B$1,1,1)+(2-1)*7&lt;=$D111,DATE($B$1,1,1)+2*7-1&gt;=$C111),1,""))</f>
        <v/>
      </c>
      <c r="G111" s="10">
        <f>IF(OR($C111="",$D111=""),"",IF(AND(DATE($B$1,1,1)+(3-1)*7&lt;=$D111,DATE($B$1,1,1)+3*7-1&gt;=$C111),1,""))</f>
        <v/>
      </c>
      <c r="H111" s="10">
        <f>IF(OR($C111="",$D111=""),"",IF(AND(DATE($B$1,1,1)+(4-1)*7&lt;=$D111,DATE($B$1,1,1)+4*7-1&gt;=$C111),1,""))</f>
        <v/>
      </c>
      <c r="I111" s="10">
        <f>IF(OR($C111="",$D111=""),"",IF(AND(DATE($B$1,1,1)+(5-1)*7&lt;=$D111,DATE($B$1,1,1)+5*7-1&gt;=$C111),1,""))</f>
        <v/>
      </c>
      <c r="J111" s="10">
        <f>IF(OR($C111="",$D111=""),"",IF(AND(DATE($B$1,1,1)+(6-1)*7&lt;=$D111,DATE($B$1,1,1)+6*7-1&gt;=$C111),1,""))</f>
        <v/>
      </c>
      <c r="K111" s="10">
        <f>IF(OR($C111="",$D111=""),"",IF(AND(DATE($B$1,1,1)+(7-1)*7&lt;=$D111,DATE($B$1,1,1)+7*7-1&gt;=$C111),1,""))</f>
        <v/>
      </c>
      <c r="L111" s="10">
        <f>IF(OR($C111="",$D111=""),"",IF(AND(DATE($B$1,1,1)+(8-1)*7&lt;=$D111,DATE($B$1,1,1)+8*7-1&gt;=$C111),1,""))</f>
        <v/>
      </c>
      <c r="M111" s="10">
        <f>IF(OR($C111="",$D111=""),"",IF(AND(DATE($B$1,1,1)+(9-1)*7&lt;=$D111,DATE($B$1,1,1)+9*7-1&gt;=$C111),1,""))</f>
        <v/>
      </c>
      <c r="N111" s="10">
        <f>IF(OR($C111="",$D111=""),"",IF(AND(DATE($B$1,1,1)+(10-1)*7&lt;=$D111,DATE($B$1,1,1)+10*7-1&gt;=$C111),1,""))</f>
        <v/>
      </c>
      <c r="O111" s="10">
        <f>IF(OR($C111="",$D111=""),"",IF(AND(DATE($B$1,1,1)+(11-1)*7&lt;=$D111,DATE($B$1,1,1)+11*7-1&gt;=$C111),1,""))</f>
        <v/>
      </c>
      <c r="P111" s="10">
        <f>IF(OR($C111="",$D111=""),"",IF(AND(DATE($B$1,1,1)+(12-1)*7&lt;=$D111,DATE($B$1,1,1)+12*7-1&gt;=$C111),1,""))</f>
        <v/>
      </c>
      <c r="Q111" s="10">
        <f>IF(OR($C111="",$D111=""),"",IF(AND(DATE($B$1,1,1)+(13-1)*7&lt;=$D111,DATE($B$1,1,1)+13*7-1&gt;=$C111),1,""))</f>
        <v/>
      </c>
      <c r="R111" s="10">
        <f>IF(OR($C111="",$D111=""),"",IF(AND(DATE($B$1,1,1)+(14-1)*7&lt;=$D111,DATE($B$1,1,1)+14*7-1&gt;=$C111),1,""))</f>
        <v/>
      </c>
      <c r="S111" s="10">
        <f>IF(OR($C111="",$D111=""),"",IF(AND(DATE($B$1,1,1)+(15-1)*7&lt;=$D111,DATE($B$1,1,1)+15*7-1&gt;=$C111),1,""))</f>
        <v/>
      </c>
      <c r="T111" s="10">
        <f>IF(OR($C111="",$D111=""),"",IF(AND(DATE($B$1,1,1)+(16-1)*7&lt;=$D111,DATE($B$1,1,1)+16*7-1&gt;=$C111),1,""))</f>
        <v/>
      </c>
      <c r="U111" s="10">
        <f>IF(OR($C111="",$D111=""),"",IF(AND(DATE($B$1,1,1)+(17-1)*7&lt;=$D111,DATE($B$1,1,1)+17*7-1&gt;=$C111),1,""))</f>
        <v/>
      </c>
      <c r="V111" s="10">
        <f>IF(OR($C111="",$D111=""),"",IF(AND(DATE($B$1,1,1)+(18-1)*7&lt;=$D111,DATE($B$1,1,1)+18*7-1&gt;=$C111),1,""))</f>
        <v/>
      </c>
      <c r="W111" s="10">
        <f>IF(OR($C111="",$D111=""),"",IF(AND(DATE($B$1,1,1)+(19-1)*7&lt;=$D111,DATE($B$1,1,1)+19*7-1&gt;=$C111),1,""))</f>
        <v/>
      </c>
      <c r="X111" s="10">
        <f>IF(OR($C111="",$D111=""),"",IF(AND(DATE($B$1,1,1)+(20-1)*7&lt;=$D111,DATE($B$1,1,1)+20*7-1&gt;=$C111),1,""))</f>
        <v/>
      </c>
      <c r="Y111" s="10">
        <f>IF(OR($C111="",$D111=""),"",IF(AND(DATE($B$1,1,1)+(21-1)*7&lt;=$D111,DATE($B$1,1,1)+21*7-1&gt;=$C111),1,""))</f>
        <v/>
      </c>
      <c r="Z111" s="10">
        <f>IF(OR($C111="",$D111=""),"",IF(AND(DATE($B$1,1,1)+(22-1)*7&lt;=$D111,DATE($B$1,1,1)+22*7-1&gt;=$C111),1,""))</f>
        <v/>
      </c>
      <c r="AA111" s="10">
        <f>IF(OR($C111="",$D111=""),"",IF(AND(DATE($B$1,1,1)+(23-1)*7&lt;=$D111,DATE($B$1,1,1)+23*7-1&gt;=$C111),1,""))</f>
        <v/>
      </c>
      <c r="AB111" s="10">
        <f>IF(OR($C111="",$D111=""),"",IF(AND(DATE($B$1,1,1)+(24-1)*7&lt;=$D111,DATE($B$1,1,1)+24*7-1&gt;=$C111),1,""))</f>
        <v/>
      </c>
      <c r="AC111" s="10">
        <f>IF(OR($C111="",$D111=""),"",IF(AND(DATE($B$1,1,1)+(25-1)*7&lt;=$D111,DATE($B$1,1,1)+25*7-1&gt;=$C111),1,""))</f>
        <v/>
      </c>
      <c r="AD111" s="10">
        <f>IF(OR($C111="",$D111=""),"",IF(AND(DATE($B$1,1,1)+(26-1)*7&lt;=$D111,DATE($B$1,1,1)+26*7-1&gt;=$C111),1,""))</f>
        <v/>
      </c>
      <c r="AE111" s="10">
        <f>IF(OR($C111="",$D111=""),"",IF(AND(DATE($B$1,1,1)+(27-1)*7&lt;=$D111,DATE($B$1,1,1)+27*7-1&gt;=$C111),1,""))</f>
        <v/>
      </c>
      <c r="AF111" s="10">
        <f>IF(OR($C111="",$D111=""),"",IF(AND(DATE($B$1,1,1)+(28-1)*7&lt;=$D111,DATE($B$1,1,1)+28*7-1&gt;=$C111),1,""))</f>
        <v/>
      </c>
      <c r="AG111" s="10">
        <f>IF(OR($C111="",$D111=""),"",IF(AND(DATE($B$1,1,1)+(29-1)*7&lt;=$D111,DATE($B$1,1,1)+29*7-1&gt;=$C111),1,""))</f>
        <v/>
      </c>
      <c r="AH111" s="10">
        <f>IF(OR($C111="",$D111=""),"",IF(AND(DATE($B$1,1,1)+(30-1)*7&lt;=$D111,DATE($B$1,1,1)+30*7-1&gt;=$C111),1,""))</f>
        <v/>
      </c>
      <c r="AI111" s="10">
        <f>IF(OR($C111="",$D111=""),"",IF(AND(DATE($B$1,1,1)+(31-1)*7&lt;=$D111,DATE($B$1,1,1)+31*7-1&gt;=$C111),1,""))</f>
        <v/>
      </c>
      <c r="AJ111" s="10">
        <f>IF(OR($C111="",$D111=""),"",IF(AND(DATE($B$1,1,1)+(32-1)*7&lt;=$D111,DATE($B$1,1,1)+32*7-1&gt;=$C111),1,""))</f>
        <v/>
      </c>
      <c r="AK111" s="10">
        <f>IF(OR($C111="",$D111=""),"",IF(AND(DATE($B$1,1,1)+(33-1)*7&lt;=$D111,DATE($B$1,1,1)+33*7-1&gt;=$C111),1,""))</f>
        <v/>
      </c>
      <c r="AL111" s="10">
        <f>IF(OR($C111="",$D111=""),"",IF(AND(DATE($B$1,1,1)+(34-1)*7&lt;=$D111,DATE($B$1,1,1)+34*7-1&gt;=$C111),1,""))</f>
        <v/>
      </c>
      <c r="AM111" s="10">
        <f>IF(OR($C111="",$D111=""),"",IF(AND(DATE($B$1,1,1)+(35-1)*7&lt;=$D111,DATE($B$1,1,1)+35*7-1&gt;=$C111),1,""))</f>
        <v/>
      </c>
      <c r="AN111" s="10">
        <f>IF(OR($C111="",$D111=""),"",IF(AND(DATE($B$1,1,1)+(36-1)*7&lt;=$D111,DATE($B$1,1,1)+36*7-1&gt;=$C111),1,""))</f>
        <v/>
      </c>
      <c r="AO111" s="10">
        <f>IF(OR($C111="",$D111=""),"",IF(AND(DATE($B$1,1,1)+(37-1)*7&lt;=$D111,DATE($B$1,1,1)+37*7-1&gt;=$C111),1,""))</f>
        <v/>
      </c>
      <c r="AP111" s="10">
        <f>IF(OR($C111="",$D111=""),"",IF(AND(DATE($B$1,1,1)+(38-1)*7&lt;=$D111,DATE($B$1,1,1)+38*7-1&gt;=$C111),1,""))</f>
        <v/>
      </c>
      <c r="AQ111" s="10">
        <f>IF(OR($C111="",$D111=""),"",IF(AND(DATE($B$1,1,1)+(39-1)*7&lt;=$D111,DATE($B$1,1,1)+39*7-1&gt;=$C111),1,""))</f>
        <v/>
      </c>
      <c r="AR111" s="10">
        <f>IF(OR($C111="",$D111=""),"",IF(AND(DATE($B$1,1,1)+(40-1)*7&lt;=$D111,DATE($B$1,1,1)+40*7-1&gt;=$C111),1,""))</f>
        <v/>
      </c>
      <c r="AS111" s="10">
        <f>IF(OR($C111="",$D111=""),"",IF(AND(DATE($B$1,1,1)+(41-1)*7&lt;=$D111,DATE($B$1,1,1)+41*7-1&gt;=$C111),1,""))</f>
        <v/>
      </c>
      <c r="AT111" s="10">
        <f>IF(OR($C111="",$D111=""),"",IF(AND(DATE($B$1,1,1)+(42-1)*7&lt;=$D111,DATE($B$1,1,1)+42*7-1&gt;=$C111),1,""))</f>
        <v/>
      </c>
      <c r="AU111" s="10">
        <f>IF(OR($C111="",$D111=""),"",IF(AND(DATE($B$1,1,1)+(43-1)*7&lt;=$D111,DATE($B$1,1,1)+43*7-1&gt;=$C111),1,""))</f>
        <v/>
      </c>
      <c r="AV111" s="10">
        <f>IF(OR($C111="",$D111=""),"",IF(AND(DATE($B$1,1,1)+(44-1)*7&lt;=$D111,DATE($B$1,1,1)+44*7-1&gt;=$C111),1,""))</f>
        <v/>
      </c>
      <c r="AW111" s="10">
        <f>IF(OR($C111="",$D111=""),"",IF(AND(DATE($B$1,1,1)+(45-1)*7&lt;=$D111,DATE($B$1,1,1)+45*7-1&gt;=$C111),1,""))</f>
        <v/>
      </c>
      <c r="AX111" s="10">
        <f>IF(OR($C111="",$D111=""),"",IF(AND(DATE($B$1,1,1)+(46-1)*7&lt;=$D111,DATE($B$1,1,1)+46*7-1&gt;=$C111),1,""))</f>
        <v/>
      </c>
      <c r="AY111" s="10">
        <f>IF(OR($C111="",$D111=""),"",IF(AND(DATE($B$1,1,1)+(47-1)*7&lt;=$D111,DATE($B$1,1,1)+47*7-1&gt;=$C111),1,""))</f>
        <v/>
      </c>
      <c r="AZ111" s="10">
        <f>IF(OR($C111="",$D111=""),"",IF(AND(DATE($B$1,1,1)+(48-1)*7&lt;=$D111,DATE($B$1,1,1)+48*7-1&gt;=$C111),1,""))</f>
        <v/>
      </c>
      <c r="BA111" s="10">
        <f>IF(OR($C111="",$D111=""),"",IF(AND(DATE($B$1,1,1)+(49-1)*7&lt;=$D111,DATE($B$1,1,1)+49*7-1&gt;=$C111),1,""))</f>
        <v/>
      </c>
      <c r="BB111" s="10">
        <f>IF(OR($C111="",$D111=""),"",IF(AND(DATE($B$1,1,1)+(50-1)*7&lt;=$D111,DATE($B$1,1,1)+50*7-1&gt;=$C111),1,""))</f>
        <v/>
      </c>
      <c r="BC111" s="10">
        <f>IF(OR($C111="",$D111=""),"",IF(AND(DATE($B$1,1,1)+(51-1)*7&lt;=$D111,DATE($B$1,1,1)+51*7-1&gt;=$C111),1,""))</f>
        <v/>
      </c>
      <c r="BD111" s="10">
        <f>IF(OR($C111="",$D111=""),"",IF(AND(DATE($B$1,1,1)+(52-1)*7&lt;=$D111,DATE($B$1,1,1)+52*7-1&gt;=$C111),1,""))</f>
        <v/>
      </c>
      <c r="BE111" s="10">
        <f>IF(OR($C111="",$D111=""),"",IF(AND(DATE($B$1,1,1)+(53-1)*7&lt;=$D111,DATE($B$1,1,1)+53*7-1&gt;=$C111),1,""))</f>
        <v/>
      </c>
      <c r="BF111" s="10">
        <f>IF(OR($C111="",$D111=""),"",IF(AND(DATE($B$1,1,1)+(54-1)*7&lt;=$D111,DATE($B$1,1,1)+54*7-1&gt;=$C111),1,""))</f>
        <v/>
      </c>
    </row>
    <row r="112">
      <c r="A112" s="6" t="n"/>
      <c r="B112" s="6" t="n"/>
      <c r="C112" s="11" t="n"/>
      <c r="D112" s="11" t="n"/>
      <c r="E112" s="10">
        <f>IF(OR($C112="",$D112=""),"",IF(AND(DATE($B$1,1,1)+(1-1)*7&lt;=$D112,DATE($B$1,1,1)+1*7-1&gt;=$C112),1,""))</f>
        <v/>
      </c>
      <c r="F112" s="10">
        <f>IF(OR($C112="",$D112=""),"",IF(AND(DATE($B$1,1,1)+(2-1)*7&lt;=$D112,DATE($B$1,1,1)+2*7-1&gt;=$C112),1,""))</f>
        <v/>
      </c>
      <c r="G112" s="10">
        <f>IF(OR($C112="",$D112=""),"",IF(AND(DATE($B$1,1,1)+(3-1)*7&lt;=$D112,DATE($B$1,1,1)+3*7-1&gt;=$C112),1,""))</f>
        <v/>
      </c>
      <c r="H112" s="10">
        <f>IF(OR($C112="",$D112=""),"",IF(AND(DATE($B$1,1,1)+(4-1)*7&lt;=$D112,DATE($B$1,1,1)+4*7-1&gt;=$C112),1,""))</f>
        <v/>
      </c>
      <c r="I112" s="10">
        <f>IF(OR($C112="",$D112=""),"",IF(AND(DATE($B$1,1,1)+(5-1)*7&lt;=$D112,DATE($B$1,1,1)+5*7-1&gt;=$C112),1,""))</f>
        <v/>
      </c>
      <c r="J112" s="10">
        <f>IF(OR($C112="",$D112=""),"",IF(AND(DATE($B$1,1,1)+(6-1)*7&lt;=$D112,DATE($B$1,1,1)+6*7-1&gt;=$C112),1,""))</f>
        <v/>
      </c>
      <c r="K112" s="10">
        <f>IF(OR($C112="",$D112=""),"",IF(AND(DATE($B$1,1,1)+(7-1)*7&lt;=$D112,DATE($B$1,1,1)+7*7-1&gt;=$C112),1,""))</f>
        <v/>
      </c>
      <c r="L112" s="10">
        <f>IF(OR($C112="",$D112=""),"",IF(AND(DATE($B$1,1,1)+(8-1)*7&lt;=$D112,DATE($B$1,1,1)+8*7-1&gt;=$C112),1,""))</f>
        <v/>
      </c>
      <c r="M112" s="10">
        <f>IF(OR($C112="",$D112=""),"",IF(AND(DATE($B$1,1,1)+(9-1)*7&lt;=$D112,DATE($B$1,1,1)+9*7-1&gt;=$C112),1,""))</f>
        <v/>
      </c>
      <c r="N112" s="10">
        <f>IF(OR($C112="",$D112=""),"",IF(AND(DATE($B$1,1,1)+(10-1)*7&lt;=$D112,DATE($B$1,1,1)+10*7-1&gt;=$C112),1,""))</f>
        <v/>
      </c>
      <c r="O112" s="10">
        <f>IF(OR($C112="",$D112=""),"",IF(AND(DATE($B$1,1,1)+(11-1)*7&lt;=$D112,DATE($B$1,1,1)+11*7-1&gt;=$C112),1,""))</f>
        <v/>
      </c>
      <c r="P112" s="10">
        <f>IF(OR($C112="",$D112=""),"",IF(AND(DATE($B$1,1,1)+(12-1)*7&lt;=$D112,DATE($B$1,1,1)+12*7-1&gt;=$C112),1,""))</f>
        <v/>
      </c>
      <c r="Q112" s="10">
        <f>IF(OR($C112="",$D112=""),"",IF(AND(DATE($B$1,1,1)+(13-1)*7&lt;=$D112,DATE($B$1,1,1)+13*7-1&gt;=$C112),1,""))</f>
        <v/>
      </c>
      <c r="R112" s="10">
        <f>IF(OR($C112="",$D112=""),"",IF(AND(DATE($B$1,1,1)+(14-1)*7&lt;=$D112,DATE($B$1,1,1)+14*7-1&gt;=$C112),1,""))</f>
        <v/>
      </c>
      <c r="S112" s="10">
        <f>IF(OR($C112="",$D112=""),"",IF(AND(DATE($B$1,1,1)+(15-1)*7&lt;=$D112,DATE($B$1,1,1)+15*7-1&gt;=$C112),1,""))</f>
        <v/>
      </c>
      <c r="T112" s="10">
        <f>IF(OR($C112="",$D112=""),"",IF(AND(DATE($B$1,1,1)+(16-1)*7&lt;=$D112,DATE($B$1,1,1)+16*7-1&gt;=$C112),1,""))</f>
        <v/>
      </c>
      <c r="U112" s="10">
        <f>IF(OR($C112="",$D112=""),"",IF(AND(DATE($B$1,1,1)+(17-1)*7&lt;=$D112,DATE($B$1,1,1)+17*7-1&gt;=$C112),1,""))</f>
        <v/>
      </c>
      <c r="V112" s="10">
        <f>IF(OR($C112="",$D112=""),"",IF(AND(DATE($B$1,1,1)+(18-1)*7&lt;=$D112,DATE($B$1,1,1)+18*7-1&gt;=$C112),1,""))</f>
        <v/>
      </c>
      <c r="W112" s="10">
        <f>IF(OR($C112="",$D112=""),"",IF(AND(DATE($B$1,1,1)+(19-1)*7&lt;=$D112,DATE($B$1,1,1)+19*7-1&gt;=$C112),1,""))</f>
        <v/>
      </c>
      <c r="X112" s="10">
        <f>IF(OR($C112="",$D112=""),"",IF(AND(DATE($B$1,1,1)+(20-1)*7&lt;=$D112,DATE($B$1,1,1)+20*7-1&gt;=$C112),1,""))</f>
        <v/>
      </c>
      <c r="Y112" s="10">
        <f>IF(OR($C112="",$D112=""),"",IF(AND(DATE($B$1,1,1)+(21-1)*7&lt;=$D112,DATE($B$1,1,1)+21*7-1&gt;=$C112),1,""))</f>
        <v/>
      </c>
      <c r="Z112" s="10">
        <f>IF(OR($C112="",$D112=""),"",IF(AND(DATE($B$1,1,1)+(22-1)*7&lt;=$D112,DATE($B$1,1,1)+22*7-1&gt;=$C112),1,""))</f>
        <v/>
      </c>
      <c r="AA112" s="10">
        <f>IF(OR($C112="",$D112=""),"",IF(AND(DATE($B$1,1,1)+(23-1)*7&lt;=$D112,DATE($B$1,1,1)+23*7-1&gt;=$C112),1,""))</f>
        <v/>
      </c>
      <c r="AB112" s="10">
        <f>IF(OR($C112="",$D112=""),"",IF(AND(DATE($B$1,1,1)+(24-1)*7&lt;=$D112,DATE($B$1,1,1)+24*7-1&gt;=$C112),1,""))</f>
        <v/>
      </c>
      <c r="AC112" s="10">
        <f>IF(OR($C112="",$D112=""),"",IF(AND(DATE($B$1,1,1)+(25-1)*7&lt;=$D112,DATE($B$1,1,1)+25*7-1&gt;=$C112),1,""))</f>
        <v/>
      </c>
      <c r="AD112" s="10">
        <f>IF(OR($C112="",$D112=""),"",IF(AND(DATE($B$1,1,1)+(26-1)*7&lt;=$D112,DATE($B$1,1,1)+26*7-1&gt;=$C112),1,""))</f>
        <v/>
      </c>
      <c r="AE112" s="10">
        <f>IF(OR($C112="",$D112=""),"",IF(AND(DATE($B$1,1,1)+(27-1)*7&lt;=$D112,DATE($B$1,1,1)+27*7-1&gt;=$C112),1,""))</f>
        <v/>
      </c>
      <c r="AF112" s="10">
        <f>IF(OR($C112="",$D112=""),"",IF(AND(DATE($B$1,1,1)+(28-1)*7&lt;=$D112,DATE($B$1,1,1)+28*7-1&gt;=$C112),1,""))</f>
        <v/>
      </c>
      <c r="AG112" s="10">
        <f>IF(OR($C112="",$D112=""),"",IF(AND(DATE($B$1,1,1)+(29-1)*7&lt;=$D112,DATE($B$1,1,1)+29*7-1&gt;=$C112),1,""))</f>
        <v/>
      </c>
      <c r="AH112" s="10">
        <f>IF(OR($C112="",$D112=""),"",IF(AND(DATE($B$1,1,1)+(30-1)*7&lt;=$D112,DATE($B$1,1,1)+30*7-1&gt;=$C112),1,""))</f>
        <v/>
      </c>
      <c r="AI112" s="10">
        <f>IF(OR($C112="",$D112=""),"",IF(AND(DATE($B$1,1,1)+(31-1)*7&lt;=$D112,DATE($B$1,1,1)+31*7-1&gt;=$C112),1,""))</f>
        <v/>
      </c>
      <c r="AJ112" s="10">
        <f>IF(OR($C112="",$D112=""),"",IF(AND(DATE($B$1,1,1)+(32-1)*7&lt;=$D112,DATE($B$1,1,1)+32*7-1&gt;=$C112),1,""))</f>
        <v/>
      </c>
      <c r="AK112" s="10">
        <f>IF(OR($C112="",$D112=""),"",IF(AND(DATE($B$1,1,1)+(33-1)*7&lt;=$D112,DATE($B$1,1,1)+33*7-1&gt;=$C112),1,""))</f>
        <v/>
      </c>
      <c r="AL112" s="10">
        <f>IF(OR($C112="",$D112=""),"",IF(AND(DATE($B$1,1,1)+(34-1)*7&lt;=$D112,DATE($B$1,1,1)+34*7-1&gt;=$C112),1,""))</f>
        <v/>
      </c>
      <c r="AM112" s="10">
        <f>IF(OR($C112="",$D112=""),"",IF(AND(DATE($B$1,1,1)+(35-1)*7&lt;=$D112,DATE($B$1,1,1)+35*7-1&gt;=$C112),1,""))</f>
        <v/>
      </c>
      <c r="AN112" s="10">
        <f>IF(OR($C112="",$D112=""),"",IF(AND(DATE($B$1,1,1)+(36-1)*7&lt;=$D112,DATE($B$1,1,1)+36*7-1&gt;=$C112),1,""))</f>
        <v/>
      </c>
      <c r="AO112" s="10">
        <f>IF(OR($C112="",$D112=""),"",IF(AND(DATE($B$1,1,1)+(37-1)*7&lt;=$D112,DATE($B$1,1,1)+37*7-1&gt;=$C112),1,""))</f>
        <v/>
      </c>
      <c r="AP112" s="10">
        <f>IF(OR($C112="",$D112=""),"",IF(AND(DATE($B$1,1,1)+(38-1)*7&lt;=$D112,DATE($B$1,1,1)+38*7-1&gt;=$C112),1,""))</f>
        <v/>
      </c>
      <c r="AQ112" s="10">
        <f>IF(OR($C112="",$D112=""),"",IF(AND(DATE($B$1,1,1)+(39-1)*7&lt;=$D112,DATE($B$1,1,1)+39*7-1&gt;=$C112),1,""))</f>
        <v/>
      </c>
      <c r="AR112" s="10">
        <f>IF(OR($C112="",$D112=""),"",IF(AND(DATE($B$1,1,1)+(40-1)*7&lt;=$D112,DATE($B$1,1,1)+40*7-1&gt;=$C112),1,""))</f>
        <v/>
      </c>
      <c r="AS112" s="10">
        <f>IF(OR($C112="",$D112=""),"",IF(AND(DATE($B$1,1,1)+(41-1)*7&lt;=$D112,DATE($B$1,1,1)+41*7-1&gt;=$C112),1,""))</f>
        <v/>
      </c>
      <c r="AT112" s="10">
        <f>IF(OR($C112="",$D112=""),"",IF(AND(DATE($B$1,1,1)+(42-1)*7&lt;=$D112,DATE($B$1,1,1)+42*7-1&gt;=$C112),1,""))</f>
        <v/>
      </c>
      <c r="AU112" s="10">
        <f>IF(OR($C112="",$D112=""),"",IF(AND(DATE($B$1,1,1)+(43-1)*7&lt;=$D112,DATE($B$1,1,1)+43*7-1&gt;=$C112),1,""))</f>
        <v/>
      </c>
      <c r="AV112" s="10">
        <f>IF(OR($C112="",$D112=""),"",IF(AND(DATE($B$1,1,1)+(44-1)*7&lt;=$D112,DATE($B$1,1,1)+44*7-1&gt;=$C112),1,""))</f>
        <v/>
      </c>
      <c r="AW112" s="10">
        <f>IF(OR($C112="",$D112=""),"",IF(AND(DATE($B$1,1,1)+(45-1)*7&lt;=$D112,DATE($B$1,1,1)+45*7-1&gt;=$C112),1,""))</f>
        <v/>
      </c>
      <c r="AX112" s="10">
        <f>IF(OR($C112="",$D112=""),"",IF(AND(DATE($B$1,1,1)+(46-1)*7&lt;=$D112,DATE($B$1,1,1)+46*7-1&gt;=$C112),1,""))</f>
        <v/>
      </c>
      <c r="AY112" s="10">
        <f>IF(OR($C112="",$D112=""),"",IF(AND(DATE($B$1,1,1)+(47-1)*7&lt;=$D112,DATE($B$1,1,1)+47*7-1&gt;=$C112),1,""))</f>
        <v/>
      </c>
      <c r="AZ112" s="10">
        <f>IF(OR($C112="",$D112=""),"",IF(AND(DATE($B$1,1,1)+(48-1)*7&lt;=$D112,DATE($B$1,1,1)+48*7-1&gt;=$C112),1,""))</f>
        <v/>
      </c>
      <c r="BA112" s="10">
        <f>IF(OR($C112="",$D112=""),"",IF(AND(DATE($B$1,1,1)+(49-1)*7&lt;=$D112,DATE($B$1,1,1)+49*7-1&gt;=$C112),1,""))</f>
        <v/>
      </c>
      <c r="BB112" s="10">
        <f>IF(OR($C112="",$D112=""),"",IF(AND(DATE($B$1,1,1)+(50-1)*7&lt;=$D112,DATE($B$1,1,1)+50*7-1&gt;=$C112),1,""))</f>
        <v/>
      </c>
      <c r="BC112" s="10">
        <f>IF(OR($C112="",$D112=""),"",IF(AND(DATE($B$1,1,1)+(51-1)*7&lt;=$D112,DATE($B$1,1,1)+51*7-1&gt;=$C112),1,""))</f>
        <v/>
      </c>
      <c r="BD112" s="10">
        <f>IF(OR($C112="",$D112=""),"",IF(AND(DATE($B$1,1,1)+(52-1)*7&lt;=$D112,DATE($B$1,1,1)+52*7-1&gt;=$C112),1,""))</f>
        <v/>
      </c>
      <c r="BE112" s="10">
        <f>IF(OR($C112="",$D112=""),"",IF(AND(DATE($B$1,1,1)+(53-1)*7&lt;=$D112,DATE($B$1,1,1)+53*7-1&gt;=$C112),1,""))</f>
        <v/>
      </c>
      <c r="BF112" s="10">
        <f>IF(OR($C112="",$D112=""),"",IF(AND(DATE($B$1,1,1)+(54-1)*7&lt;=$D112,DATE($B$1,1,1)+54*7-1&gt;=$C112),1,""))</f>
        <v/>
      </c>
    </row>
    <row r="113">
      <c r="A113" s="6" t="n"/>
      <c r="B113" s="6" t="n"/>
      <c r="C113" s="11" t="n"/>
      <c r="D113" s="11" t="n"/>
      <c r="E113" s="10">
        <f>IF(OR($C113="",$D113=""),"",IF(AND(DATE($B$1,1,1)+(1-1)*7&lt;=$D113,DATE($B$1,1,1)+1*7-1&gt;=$C113),1,""))</f>
        <v/>
      </c>
      <c r="F113" s="10">
        <f>IF(OR($C113="",$D113=""),"",IF(AND(DATE($B$1,1,1)+(2-1)*7&lt;=$D113,DATE($B$1,1,1)+2*7-1&gt;=$C113),1,""))</f>
        <v/>
      </c>
      <c r="G113" s="10">
        <f>IF(OR($C113="",$D113=""),"",IF(AND(DATE($B$1,1,1)+(3-1)*7&lt;=$D113,DATE($B$1,1,1)+3*7-1&gt;=$C113),1,""))</f>
        <v/>
      </c>
      <c r="H113" s="10">
        <f>IF(OR($C113="",$D113=""),"",IF(AND(DATE($B$1,1,1)+(4-1)*7&lt;=$D113,DATE($B$1,1,1)+4*7-1&gt;=$C113),1,""))</f>
        <v/>
      </c>
      <c r="I113" s="10">
        <f>IF(OR($C113="",$D113=""),"",IF(AND(DATE($B$1,1,1)+(5-1)*7&lt;=$D113,DATE($B$1,1,1)+5*7-1&gt;=$C113),1,""))</f>
        <v/>
      </c>
      <c r="J113" s="10">
        <f>IF(OR($C113="",$D113=""),"",IF(AND(DATE($B$1,1,1)+(6-1)*7&lt;=$D113,DATE($B$1,1,1)+6*7-1&gt;=$C113),1,""))</f>
        <v/>
      </c>
      <c r="K113" s="10">
        <f>IF(OR($C113="",$D113=""),"",IF(AND(DATE($B$1,1,1)+(7-1)*7&lt;=$D113,DATE($B$1,1,1)+7*7-1&gt;=$C113),1,""))</f>
        <v/>
      </c>
      <c r="L113" s="10">
        <f>IF(OR($C113="",$D113=""),"",IF(AND(DATE($B$1,1,1)+(8-1)*7&lt;=$D113,DATE($B$1,1,1)+8*7-1&gt;=$C113),1,""))</f>
        <v/>
      </c>
      <c r="M113" s="10">
        <f>IF(OR($C113="",$D113=""),"",IF(AND(DATE($B$1,1,1)+(9-1)*7&lt;=$D113,DATE($B$1,1,1)+9*7-1&gt;=$C113),1,""))</f>
        <v/>
      </c>
      <c r="N113" s="10">
        <f>IF(OR($C113="",$D113=""),"",IF(AND(DATE($B$1,1,1)+(10-1)*7&lt;=$D113,DATE($B$1,1,1)+10*7-1&gt;=$C113),1,""))</f>
        <v/>
      </c>
      <c r="O113" s="10">
        <f>IF(OR($C113="",$D113=""),"",IF(AND(DATE($B$1,1,1)+(11-1)*7&lt;=$D113,DATE($B$1,1,1)+11*7-1&gt;=$C113),1,""))</f>
        <v/>
      </c>
      <c r="P113" s="10">
        <f>IF(OR($C113="",$D113=""),"",IF(AND(DATE($B$1,1,1)+(12-1)*7&lt;=$D113,DATE($B$1,1,1)+12*7-1&gt;=$C113),1,""))</f>
        <v/>
      </c>
      <c r="Q113" s="10">
        <f>IF(OR($C113="",$D113=""),"",IF(AND(DATE($B$1,1,1)+(13-1)*7&lt;=$D113,DATE($B$1,1,1)+13*7-1&gt;=$C113),1,""))</f>
        <v/>
      </c>
      <c r="R113" s="10">
        <f>IF(OR($C113="",$D113=""),"",IF(AND(DATE($B$1,1,1)+(14-1)*7&lt;=$D113,DATE($B$1,1,1)+14*7-1&gt;=$C113),1,""))</f>
        <v/>
      </c>
      <c r="S113" s="10">
        <f>IF(OR($C113="",$D113=""),"",IF(AND(DATE($B$1,1,1)+(15-1)*7&lt;=$D113,DATE($B$1,1,1)+15*7-1&gt;=$C113),1,""))</f>
        <v/>
      </c>
      <c r="T113" s="10">
        <f>IF(OR($C113="",$D113=""),"",IF(AND(DATE($B$1,1,1)+(16-1)*7&lt;=$D113,DATE($B$1,1,1)+16*7-1&gt;=$C113),1,""))</f>
        <v/>
      </c>
      <c r="U113" s="10">
        <f>IF(OR($C113="",$D113=""),"",IF(AND(DATE($B$1,1,1)+(17-1)*7&lt;=$D113,DATE($B$1,1,1)+17*7-1&gt;=$C113),1,""))</f>
        <v/>
      </c>
      <c r="V113" s="10">
        <f>IF(OR($C113="",$D113=""),"",IF(AND(DATE($B$1,1,1)+(18-1)*7&lt;=$D113,DATE($B$1,1,1)+18*7-1&gt;=$C113),1,""))</f>
        <v/>
      </c>
      <c r="W113" s="10">
        <f>IF(OR($C113="",$D113=""),"",IF(AND(DATE($B$1,1,1)+(19-1)*7&lt;=$D113,DATE($B$1,1,1)+19*7-1&gt;=$C113),1,""))</f>
        <v/>
      </c>
      <c r="X113" s="10">
        <f>IF(OR($C113="",$D113=""),"",IF(AND(DATE($B$1,1,1)+(20-1)*7&lt;=$D113,DATE($B$1,1,1)+20*7-1&gt;=$C113),1,""))</f>
        <v/>
      </c>
      <c r="Y113" s="10">
        <f>IF(OR($C113="",$D113=""),"",IF(AND(DATE($B$1,1,1)+(21-1)*7&lt;=$D113,DATE($B$1,1,1)+21*7-1&gt;=$C113),1,""))</f>
        <v/>
      </c>
      <c r="Z113" s="10">
        <f>IF(OR($C113="",$D113=""),"",IF(AND(DATE($B$1,1,1)+(22-1)*7&lt;=$D113,DATE($B$1,1,1)+22*7-1&gt;=$C113),1,""))</f>
        <v/>
      </c>
      <c r="AA113" s="10">
        <f>IF(OR($C113="",$D113=""),"",IF(AND(DATE($B$1,1,1)+(23-1)*7&lt;=$D113,DATE($B$1,1,1)+23*7-1&gt;=$C113),1,""))</f>
        <v/>
      </c>
      <c r="AB113" s="10">
        <f>IF(OR($C113="",$D113=""),"",IF(AND(DATE($B$1,1,1)+(24-1)*7&lt;=$D113,DATE($B$1,1,1)+24*7-1&gt;=$C113),1,""))</f>
        <v/>
      </c>
      <c r="AC113" s="10">
        <f>IF(OR($C113="",$D113=""),"",IF(AND(DATE($B$1,1,1)+(25-1)*7&lt;=$D113,DATE($B$1,1,1)+25*7-1&gt;=$C113),1,""))</f>
        <v/>
      </c>
      <c r="AD113" s="10">
        <f>IF(OR($C113="",$D113=""),"",IF(AND(DATE($B$1,1,1)+(26-1)*7&lt;=$D113,DATE($B$1,1,1)+26*7-1&gt;=$C113),1,""))</f>
        <v/>
      </c>
      <c r="AE113" s="10">
        <f>IF(OR($C113="",$D113=""),"",IF(AND(DATE($B$1,1,1)+(27-1)*7&lt;=$D113,DATE($B$1,1,1)+27*7-1&gt;=$C113),1,""))</f>
        <v/>
      </c>
      <c r="AF113" s="10">
        <f>IF(OR($C113="",$D113=""),"",IF(AND(DATE($B$1,1,1)+(28-1)*7&lt;=$D113,DATE($B$1,1,1)+28*7-1&gt;=$C113),1,""))</f>
        <v/>
      </c>
      <c r="AG113" s="10">
        <f>IF(OR($C113="",$D113=""),"",IF(AND(DATE($B$1,1,1)+(29-1)*7&lt;=$D113,DATE($B$1,1,1)+29*7-1&gt;=$C113),1,""))</f>
        <v/>
      </c>
      <c r="AH113" s="10">
        <f>IF(OR($C113="",$D113=""),"",IF(AND(DATE($B$1,1,1)+(30-1)*7&lt;=$D113,DATE($B$1,1,1)+30*7-1&gt;=$C113),1,""))</f>
        <v/>
      </c>
      <c r="AI113" s="10">
        <f>IF(OR($C113="",$D113=""),"",IF(AND(DATE($B$1,1,1)+(31-1)*7&lt;=$D113,DATE($B$1,1,1)+31*7-1&gt;=$C113),1,""))</f>
        <v/>
      </c>
      <c r="AJ113" s="10">
        <f>IF(OR($C113="",$D113=""),"",IF(AND(DATE($B$1,1,1)+(32-1)*7&lt;=$D113,DATE($B$1,1,1)+32*7-1&gt;=$C113),1,""))</f>
        <v/>
      </c>
      <c r="AK113" s="10">
        <f>IF(OR($C113="",$D113=""),"",IF(AND(DATE($B$1,1,1)+(33-1)*7&lt;=$D113,DATE($B$1,1,1)+33*7-1&gt;=$C113),1,""))</f>
        <v/>
      </c>
      <c r="AL113" s="10">
        <f>IF(OR($C113="",$D113=""),"",IF(AND(DATE($B$1,1,1)+(34-1)*7&lt;=$D113,DATE($B$1,1,1)+34*7-1&gt;=$C113),1,""))</f>
        <v/>
      </c>
      <c r="AM113" s="10">
        <f>IF(OR($C113="",$D113=""),"",IF(AND(DATE($B$1,1,1)+(35-1)*7&lt;=$D113,DATE($B$1,1,1)+35*7-1&gt;=$C113),1,""))</f>
        <v/>
      </c>
      <c r="AN113" s="10">
        <f>IF(OR($C113="",$D113=""),"",IF(AND(DATE($B$1,1,1)+(36-1)*7&lt;=$D113,DATE($B$1,1,1)+36*7-1&gt;=$C113),1,""))</f>
        <v/>
      </c>
      <c r="AO113" s="10">
        <f>IF(OR($C113="",$D113=""),"",IF(AND(DATE($B$1,1,1)+(37-1)*7&lt;=$D113,DATE($B$1,1,1)+37*7-1&gt;=$C113),1,""))</f>
        <v/>
      </c>
      <c r="AP113" s="10">
        <f>IF(OR($C113="",$D113=""),"",IF(AND(DATE($B$1,1,1)+(38-1)*7&lt;=$D113,DATE($B$1,1,1)+38*7-1&gt;=$C113),1,""))</f>
        <v/>
      </c>
      <c r="AQ113" s="10">
        <f>IF(OR($C113="",$D113=""),"",IF(AND(DATE($B$1,1,1)+(39-1)*7&lt;=$D113,DATE($B$1,1,1)+39*7-1&gt;=$C113),1,""))</f>
        <v/>
      </c>
      <c r="AR113" s="10">
        <f>IF(OR($C113="",$D113=""),"",IF(AND(DATE($B$1,1,1)+(40-1)*7&lt;=$D113,DATE($B$1,1,1)+40*7-1&gt;=$C113),1,""))</f>
        <v/>
      </c>
      <c r="AS113" s="10">
        <f>IF(OR($C113="",$D113=""),"",IF(AND(DATE($B$1,1,1)+(41-1)*7&lt;=$D113,DATE($B$1,1,1)+41*7-1&gt;=$C113),1,""))</f>
        <v/>
      </c>
      <c r="AT113" s="10">
        <f>IF(OR($C113="",$D113=""),"",IF(AND(DATE($B$1,1,1)+(42-1)*7&lt;=$D113,DATE($B$1,1,1)+42*7-1&gt;=$C113),1,""))</f>
        <v/>
      </c>
      <c r="AU113" s="10">
        <f>IF(OR($C113="",$D113=""),"",IF(AND(DATE($B$1,1,1)+(43-1)*7&lt;=$D113,DATE($B$1,1,1)+43*7-1&gt;=$C113),1,""))</f>
        <v/>
      </c>
      <c r="AV113" s="10">
        <f>IF(OR($C113="",$D113=""),"",IF(AND(DATE($B$1,1,1)+(44-1)*7&lt;=$D113,DATE($B$1,1,1)+44*7-1&gt;=$C113),1,""))</f>
        <v/>
      </c>
      <c r="AW113" s="10">
        <f>IF(OR($C113="",$D113=""),"",IF(AND(DATE($B$1,1,1)+(45-1)*7&lt;=$D113,DATE($B$1,1,1)+45*7-1&gt;=$C113),1,""))</f>
        <v/>
      </c>
      <c r="AX113" s="10">
        <f>IF(OR($C113="",$D113=""),"",IF(AND(DATE($B$1,1,1)+(46-1)*7&lt;=$D113,DATE($B$1,1,1)+46*7-1&gt;=$C113),1,""))</f>
        <v/>
      </c>
      <c r="AY113" s="10">
        <f>IF(OR($C113="",$D113=""),"",IF(AND(DATE($B$1,1,1)+(47-1)*7&lt;=$D113,DATE($B$1,1,1)+47*7-1&gt;=$C113),1,""))</f>
        <v/>
      </c>
      <c r="AZ113" s="10">
        <f>IF(OR($C113="",$D113=""),"",IF(AND(DATE($B$1,1,1)+(48-1)*7&lt;=$D113,DATE($B$1,1,1)+48*7-1&gt;=$C113),1,""))</f>
        <v/>
      </c>
      <c r="BA113" s="10">
        <f>IF(OR($C113="",$D113=""),"",IF(AND(DATE($B$1,1,1)+(49-1)*7&lt;=$D113,DATE($B$1,1,1)+49*7-1&gt;=$C113),1,""))</f>
        <v/>
      </c>
      <c r="BB113" s="10">
        <f>IF(OR($C113="",$D113=""),"",IF(AND(DATE($B$1,1,1)+(50-1)*7&lt;=$D113,DATE($B$1,1,1)+50*7-1&gt;=$C113),1,""))</f>
        <v/>
      </c>
      <c r="BC113" s="10">
        <f>IF(OR($C113="",$D113=""),"",IF(AND(DATE($B$1,1,1)+(51-1)*7&lt;=$D113,DATE($B$1,1,1)+51*7-1&gt;=$C113),1,""))</f>
        <v/>
      </c>
      <c r="BD113" s="10">
        <f>IF(OR($C113="",$D113=""),"",IF(AND(DATE($B$1,1,1)+(52-1)*7&lt;=$D113,DATE($B$1,1,1)+52*7-1&gt;=$C113),1,""))</f>
        <v/>
      </c>
      <c r="BE113" s="10">
        <f>IF(OR($C113="",$D113=""),"",IF(AND(DATE($B$1,1,1)+(53-1)*7&lt;=$D113,DATE($B$1,1,1)+53*7-1&gt;=$C113),1,""))</f>
        <v/>
      </c>
      <c r="BF113" s="10">
        <f>IF(OR($C113="",$D113=""),"",IF(AND(DATE($B$1,1,1)+(54-1)*7&lt;=$D113,DATE($B$1,1,1)+54*7-1&gt;=$C113),1,""))</f>
        <v/>
      </c>
    </row>
    <row r="114">
      <c r="A114" s="6" t="n"/>
      <c r="B114" s="6" t="n"/>
      <c r="C114" s="11" t="n"/>
      <c r="D114" s="11" t="n"/>
      <c r="E114" s="10">
        <f>IF(OR($C114="",$D114=""),"",IF(AND(DATE($B$1,1,1)+(1-1)*7&lt;=$D114,DATE($B$1,1,1)+1*7-1&gt;=$C114),1,""))</f>
        <v/>
      </c>
      <c r="F114" s="10">
        <f>IF(OR($C114="",$D114=""),"",IF(AND(DATE($B$1,1,1)+(2-1)*7&lt;=$D114,DATE($B$1,1,1)+2*7-1&gt;=$C114),1,""))</f>
        <v/>
      </c>
      <c r="G114" s="10">
        <f>IF(OR($C114="",$D114=""),"",IF(AND(DATE($B$1,1,1)+(3-1)*7&lt;=$D114,DATE($B$1,1,1)+3*7-1&gt;=$C114),1,""))</f>
        <v/>
      </c>
      <c r="H114" s="10">
        <f>IF(OR($C114="",$D114=""),"",IF(AND(DATE($B$1,1,1)+(4-1)*7&lt;=$D114,DATE($B$1,1,1)+4*7-1&gt;=$C114),1,""))</f>
        <v/>
      </c>
      <c r="I114" s="10">
        <f>IF(OR($C114="",$D114=""),"",IF(AND(DATE($B$1,1,1)+(5-1)*7&lt;=$D114,DATE($B$1,1,1)+5*7-1&gt;=$C114),1,""))</f>
        <v/>
      </c>
      <c r="J114" s="10">
        <f>IF(OR($C114="",$D114=""),"",IF(AND(DATE($B$1,1,1)+(6-1)*7&lt;=$D114,DATE($B$1,1,1)+6*7-1&gt;=$C114),1,""))</f>
        <v/>
      </c>
      <c r="K114" s="10">
        <f>IF(OR($C114="",$D114=""),"",IF(AND(DATE($B$1,1,1)+(7-1)*7&lt;=$D114,DATE($B$1,1,1)+7*7-1&gt;=$C114),1,""))</f>
        <v/>
      </c>
      <c r="L114" s="10">
        <f>IF(OR($C114="",$D114=""),"",IF(AND(DATE($B$1,1,1)+(8-1)*7&lt;=$D114,DATE($B$1,1,1)+8*7-1&gt;=$C114),1,""))</f>
        <v/>
      </c>
      <c r="M114" s="10">
        <f>IF(OR($C114="",$D114=""),"",IF(AND(DATE($B$1,1,1)+(9-1)*7&lt;=$D114,DATE($B$1,1,1)+9*7-1&gt;=$C114),1,""))</f>
        <v/>
      </c>
      <c r="N114" s="10">
        <f>IF(OR($C114="",$D114=""),"",IF(AND(DATE($B$1,1,1)+(10-1)*7&lt;=$D114,DATE($B$1,1,1)+10*7-1&gt;=$C114),1,""))</f>
        <v/>
      </c>
      <c r="O114" s="10">
        <f>IF(OR($C114="",$D114=""),"",IF(AND(DATE($B$1,1,1)+(11-1)*7&lt;=$D114,DATE($B$1,1,1)+11*7-1&gt;=$C114),1,""))</f>
        <v/>
      </c>
      <c r="P114" s="10">
        <f>IF(OR($C114="",$D114=""),"",IF(AND(DATE($B$1,1,1)+(12-1)*7&lt;=$D114,DATE($B$1,1,1)+12*7-1&gt;=$C114),1,""))</f>
        <v/>
      </c>
      <c r="Q114" s="10">
        <f>IF(OR($C114="",$D114=""),"",IF(AND(DATE($B$1,1,1)+(13-1)*7&lt;=$D114,DATE($B$1,1,1)+13*7-1&gt;=$C114),1,""))</f>
        <v/>
      </c>
      <c r="R114" s="10">
        <f>IF(OR($C114="",$D114=""),"",IF(AND(DATE($B$1,1,1)+(14-1)*7&lt;=$D114,DATE($B$1,1,1)+14*7-1&gt;=$C114),1,""))</f>
        <v/>
      </c>
      <c r="S114" s="10">
        <f>IF(OR($C114="",$D114=""),"",IF(AND(DATE($B$1,1,1)+(15-1)*7&lt;=$D114,DATE($B$1,1,1)+15*7-1&gt;=$C114),1,""))</f>
        <v/>
      </c>
      <c r="T114" s="10">
        <f>IF(OR($C114="",$D114=""),"",IF(AND(DATE($B$1,1,1)+(16-1)*7&lt;=$D114,DATE($B$1,1,1)+16*7-1&gt;=$C114),1,""))</f>
        <v/>
      </c>
      <c r="U114" s="10">
        <f>IF(OR($C114="",$D114=""),"",IF(AND(DATE($B$1,1,1)+(17-1)*7&lt;=$D114,DATE($B$1,1,1)+17*7-1&gt;=$C114),1,""))</f>
        <v/>
      </c>
      <c r="V114" s="10">
        <f>IF(OR($C114="",$D114=""),"",IF(AND(DATE($B$1,1,1)+(18-1)*7&lt;=$D114,DATE($B$1,1,1)+18*7-1&gt;=$C114),1,""))</f>
        <v/>
      </c>
      <c r="W114" s="10">
        <f>IF(OR($C114="",$D114=""),"",IF(AND(DATE($B$1,1,1)+(19-1)*7&lt;=$D114,DATE($B$1,1,1)+19*7-1&gt;=$C114),1,""))</f>
        <v/>
      </c>
      <c r="X114" s="10">
        <f>IF(OR($C114="",$D114=""),"",IF(AND(DATE($B$1,1,1)+(20-1)*7&lt;=$D114,DATE($B$1,1,1)+20*7-1&gt;=$C114),1,""))</f>
        <v/>
      </c>
      <c r="Y114" s="10">
        <f>IF(OR($C114="",$D114=""),"",IF(AND(DATE($B$1,1,1)+(21-1)*7&lt;=$D114,DATE($B$1,1,1)+21*7-1&gt;=$C114),1,""))</f>
        <v/>
      </c>
      <c r="Z114" s="10">
        <f>IF(OR($C114="",$D114=""),"",IF(AND(DATE($B$1,1,1)+(22-1)*7&lt;=$D114,DATE($B$1,1,1)+22*7-1&gt;=$C114),1,""))</f>
        <v/>
      </c>
      <c r="AA114" s="10">
        <f>IF(OR($C114="",$D114=""),"",IF(AND(DATE($B$1,1,1)+(23-1)*7&lt;=$D114,DATE($B$1,1,1)+23*7-1&gt;=$C114),1,""))</f>
        <v/>
      </c>
      <c r="AB114" s="10">
        <f>IF(OR($C114="",$D114=""),"",IF(AND(DATE($B$1,1,1)+(24-1)*7&lt;=$D114,DATE($B$1,1,1)+24*7-1&gt;=$C114),1,""))</f>
        <v/>
      </c>
      <c r="AC114" s="10">
        <f>IF(OR($C114="",$D114=""),"",IF(AND(DATE($B$1,1,1)+(25-1)*7&lt;=$D114,DATE($B$1,1,1)+25*7-1&gt;=$C114),1,""))</f>
        <v/>
      </c>
      <c r="AD114" s="10">
        <f>IF(OR($C114="",$D114=""),"",IF(AND(DATE($B$1,1,1)+(26-1)*7&lt;=$D114,DATE($B$1,1,1)+26*7-1&gt;=$C114),1,""))</f>
        <v/>
      </c>
      <c r="AE114" s="10">
        <f>IF(OR($C114="",$D114=""),"",IF(AND(DATE($B$1,1,1)+(27-1)*7&lt;=$D114,DATE($B$1,1,1)+27*7-1&gt;=$C114),1,""))</f>
        <v/>
      </c>
      <c r="AF114" s="10">
        <f>IF(OR($C114="",$D114=""),"",IF(AND(DATE($B$1,1,1)+(28-1)*7&lt;=$D114,DATE($B$1,1,1)+28*7-1&gt;=$C114),1,""))</f>
        <v/>
      </c>
      <c r="AG114" s="10">
        <f>IF(OR($C114="",$D114=""),"",IF(AND(DATE($B$1,1,1)+(29-1)*7&lt;=$D114,DATE($B$1,1,1)+29*7-1&gt;=$C114),1,""))</f>
        <v/>
      </c>
      <c r="AH114" s="10">
        <f>IF(OR($C114="",$D114=""),"",IF(AND(DATE($B$1,1,1)+(30-1)*7&lt;=$D114,DATE($B$1,1,1)+30*7-1&gt;=$C114),1,""))</f>
        <v/>
      </c>
      <c r="AI114" s="10">
        <f>IF(OR($C114="",$D114=""),"",IF(AND(DATE($B$1,1,1)+(31-1)*7&lt;=$D114,DATE($B$1,1,1)+31*7-1&gt;=$C114),1,""))</f>
        <v/>
      </c>
      <c r="AJ114" s="10">
        <f>IF(OR($C114="",$D114=""),"",IF(AND(DATE($B$1,1,1)+(32-1)*7&lt;=$D114,DATE($B$1,1,1)+32*7-1&gt;=$C114),1,""))</f>
        <v/>
      </c>
      <c r="AK114" s="10">
        <f>IF(OR($C114="",$D114=""),"",IF(AND(DATE($B$1,1,1)+(33-1)*7&lt;=$D114,DATE($B$1,1,1)+33*7-1&gt;=$C114),1,""))</f>
        <v/>
      </c>
      <c r="AL114" s="10">
        <f>IF(OR($C114="",$D114=""),"",IF(AND(DATE($B$1,1,1)+(34-1)*7&lt;=$D114,DATE($B$1,1,1)+34*7-1&gt;=$C114),1,""))</f>
        <v/>
      </c>
      <c r="AM114" s="10">
        <f>IF(OR($C114="",$D114=""),"",IF(AND(DATE($B$1,1,1)+(35-1)*7&lt;=$D114,DATE($B$1,1,1)+35*7-1&gt;=$C114),1,""))</f>
        <v/>
      </c>
      <c r="AN114" s="10">
        <f>IF(OR($C114="",$D114=""),"",IF(AND(DATE($B$1,1,1)+(36-1)*7&lt;=$D114,DATE($B$1,1,1)+36*7-1&gt;=$C114),1,""))</f>
        <v/>
      </c>
      <c r="AO114" s="10">
        <f>IF(OR($C114="",$D114=""),"",IF(AND(DATE($B$1,1,1)+(37-1)*7&lt;=$D114,DATE($B$1,1,1)+37*7-1&gt;=$C114),1,""))</f>
        <v/>
      </c>
      <c r="AP114" s="10">
        <f>IF(OR($C114="",$D114=""),"",IF(AND(DATE($B$1,1,1)+(38-1)*7&lt;=$D114,DATE($B$1,1,1)+38*7-1&gt;=$C114),1,""))</f>
        <v/>
      </c>
      <c r="AQ114" s="10">
        <f>IF(OR($C114="",$D114=""),"",IF(AND(DATE($B$1,1,1)+(39-1)*7&lt;=$D114,DATE($B$1,1,1)+39*7-1&gt;=$C114),1,""))</f>
        <v/>
      </c>
      <c r="AR114" s="10">
        <f>IF(OR($C114="",$D114=""),"",IF(AND(DATE($B$1,1,1)+(40-1)*7&lt;=$D114,DATE($B$1,1,1)+40*7-1&gt;=$C114),1,""))</f>
        <v/>
      </c>
      <c r="AS114" s="10">
        <f>IF(OR($C114="",$D114=""),"",IF(AND(DATE($B$1,1,1)+(41-1)*7&lt;=$D114,DATE($B$1,1,1)+41*7-1&gt;=$C114),1,""))</f>
        <v/>
      </c>
      <c r="AT114" s="10">
        <f>IF(OR($C114="",$D114=""),"",IF(AND(DATE($B$1,1,1)+(42-1)*7&lt;=$D114,DATE($B$1,1,1)+42*7-1&gt;=$C114),1,""))</f>
        <v/>
      </c>
      <c r="AU114" s="10">
        <f>IF(OR($C114="",$D114=""),"",IF(AND(DATE($B$1,1,1)+(43-1)*7&lt;=$D114,DATE($B$1,1,1)+43*7-1&gt;=$C114),1,""))</f>
        <v/>
      </c>
      <c r="AV114" s="10">
        <f>IF(OR($C114="",$D114=""),"",IF(AND(DATE($B$1,1,1)+(44-1)*7&lt;=$D114,DATE($B$1,1,1)+44*7-1&gt;=$C114),1,""))</f>
        <v/>
      </c>
      <c r="AW114" s="10">
        <f>IF(OR($C114="",$D114=""),"",IF(AND(DATE($B$1,1,1)+(45-1)*7&lt;=$D114,DATE($B$1,1,1)+45*7-1&gt;=$C114),1,""))</f>
        <v/>
      </c>
      <c r="AX114" s="10">
        <f>IF(OR($C114="",$D114=""),"",IF(AND(DATE($B$1,1,1)+(46-1)*7&lt;=$D114,DATE($B$1,1,1)+46*7-1&gt;=$C114),1,""))</f>
        <v/>
      </c>
      <c r="AY114" s="10">
        <f>IF(OR($C114="",$D114=""),"",IF(AND(DATE($B$1,1,1)+(47-1)*7&lt;=$D114,DATE($B$1,1,1)+47*7-1&gt;=$C114),1,""))</f>
        <v/>
      </c>
      <c r="AZ114" s="10">
        <f>IF(OR($C114="",$D114=""),"",IF(AND(DATE($B$1,1,1)+(48-1)*7&lt;=$D114,DATE($B$1,1,1)+48*7-1&gt;=$C114),1,""))</f>
        <v/>
      </c>
      <c r="BA114" s="10">
        <f>IF(OR($C114="",$D114=""),"",IF(AND(DATE($B$1,1,1)+(49-1)*7&lt;=$D114,DATE($B$1,1,1)+49*7-1&gt;=$C114),1,""))</f>
        <v/>
      </c>
      <c r="BB114" s="10">
        <f>IF(OR($C114="",$D114=""),"",IF(AND(DATE($B$1,1,1)+(50-1)*7&lt;=$D114,DATE($B$1,1,1)+50*7-1&gt;=$C114),1,""))</f>
        <v/>
      </c>
      <c r="BC114" s="10">
        <f>IF(OR($C114="",$D114=""),"",IF(AND(DATE($B$1,1,1)+(51-1)*7&lt;=$D114,DATE($B$1,1,1)+51*7-1&gt;=$C114),1,""))</f>
        <v/>
      </c>
      <c r="BD114" s="10">
        <f>IF(OR($C114="",$D114=""),"",IF(AND(DATE($B$1,1,1)+(52-1)*7&lt;=$D114,DATE($B$1,1,1)+52*7-1&gt;=$C114),1,""))</f>
        <v/>
      </c>
      <c r="BE114" s="10">
        <f>IF(OR($C114="",$D114=""),"",IF(AND(DATE($B$1,1,1)+(53-1)*7&lt;=$D114,DATE($B$1,1,1)+53*7-1&gt;=$C114),1,""))</f>
        <v/>
      </c>
      <c r="BF114" s="10">
        <f>IF(OR($C114="",$D114=""),"",IF(AND(DATE($B$1,1,1)+(54-1)*7&lt;=$D114,DATE($B$1,1,1)+54*7-1&gt;=$C114),1,""))</f>
        <v/>
      </c>
    </row>
    <row r="115">
      <c r="A115" s="6" t="n"/>
      <c r="B115" s="6" t="n"/>
      <c r="C115" s="11" t="n"/>
      <c r="D115" s="11" t="n"/>
      <c r="E115" s="10">
        <f>IF(OR($C115="",$D115=""),"",IF(AND(DATE($B$1,1,1)+(1-1)*7&lt;=$D115,DATE($B$1,1,1)+1*7-1&gt;=$C115),1,""))</f>
        <v/>
      </c>
      <c r="F115" s="10">
        <f>IF(OR($C115="",$D115=""),"",IF(AND(DATE($B$1,1,1)+(2-1)*7&lt;=$D115,DATE($B$1,1,1)+2*7-1&gt;=$C115),1,""))</f>
        <v/>
      </c>
      <c r="G115" s="10">
        <f>IF(OR($C115="",$D115=""),"",IF(AND(DATE($B$1,1,1)+(3-1)*7&lt;=$D115,DATE($B$1,1,1)+3*7-1&gt;=$C115),1,""))</f>
        <v/>
      </c>
      <c r="H115" s="10">
        <f>IF(OR($C115="",$D115=""),"",IF(AND(DATE($B$1,1,1)+(4-1)*7&lt;=$D115,DATE($B$1,1,1)+4*7-1&gt;=$C115),1,""))</f>
        <v/>
      </c>
      <c r="I115" s="10">
        <f>IF(OR($C115="",$D115=""),"",IF(AND(DATE($B$1,1,1)+(5-1)*7&lt;=$D115,DATE($B$1,1,1)+5*7-1&gt;=$C115),1,""))</f>
        <v/>
      </c>
      <c r="J115" s="10">
        <f>IF(OR($C115="",$D115=""),"",IF(AND(DATE($B$1,1,1)+(6-1)*7&lt;=$D115,DATE($B$1,1,1)+6*7-1&gt;=$C115),1,""))</f>
        <v/>
      </c>
      <c r="K115" s="10">
        <f>IF(OR($C115="",$D115=""),"",IF(AND(DATE($B$1,1,1)+(7-1)*7&lt;=$D115,DATE($B$1,1,1)+7*7-1&gt;=$C115),1,""))</f>
        <v/>
      </c>
      <c r="L115" s="10">
        <f>IF(OR($C115="",$D115=""),"",IF(AND(DATE($B$1,1,1)+(8-1)*7&lt;=$D115,DATE($B$1,1,1)+8*7-1&gt;=$C115),1,""))</f>
        <v/>
      </c>
      <c r="M115" s="10">
        <f>IF(OR($C115="",$D115=""),"",IF(AND(DATE($B$1,1,1)+(9-1)*7&lt;=$D115,DATE($B$1,1,1)+9*7-1&gt;=$C115),1,""))</f>
        <v/>
      </c>
      <c r="N115" s="10">
        <f>IF(OR($C115="",$D115=""),"",IF(AND(DATE($B$1,1,1)+(10-1)*7&lt;=$D115,DATE($B$1,1,1)+10*7-1&gt;=$C115),1,""))</f>
        <v/>
      </c>
      <c r="O115" s="10">
        <f>IF(OR($C115="",$D115=""),"",IF(AND(DATE($B$1,1,1)+(11-1)*7&lt;=$D115,DATE($B$1,1,1)+11*7-1&gt;=$C115),1,""))</f>
        <v/>
      </c>
      <c r="P115" s="10">
        <f>IF(OR($C115="",$D115=""),"",IF(AND(DATE($B$1,1,1)+(12-1)*7&lt;=$D115,DATE($B$1,1,1)+12*7-1&gt;=$C115),1,""))</f>
        <v/>
      </c>
      <c r="Q115" s="10">
        <f>IF(OR($C115="",$D115=""),"",IF(AND(DATE($B$1,1,1)+(13-1)*7&lt;=$D115,DATE($B$1,1,1)+13*7-1&gt;=$C115),1,""))</f>
        <v/>
      </c>
      <c r="R115" s="10">
        <f>IF(OR($C115="",$D115=""),"",IF(AND(DATE($B$1,1,1)+(14-1)*7&lt;=$D115,DATE($B$1,1,1)+14*7-1&gt;=$C115),1,""))</f>
        <v/>
      </c>
      <c r="S115" s="10">
        <f>IF(OR($C115="",$D115=""),"",IF(AND(DATE($B$1,1,1)+(15-1)*7&lt;=$D115,DATE($B$1,1,1)+15*7-1&gt;=$C115),1,""))</f>
        <v/>
      </c>
      <c r="T115" s="10">
        <f>IF(OR($C115="",$D115=""),"",IF(AND(DATE($B$1,1,1)+(16-1)*7&lt;=$D115,DATE($B$1,1,1)+16*7-1&gt;=$C115),1,""))</f>
        <v/>
      </c>
      <c r="U115" s="10">
        <f>IF(OR($C115="",$D115=""),"",IF(AND(DATE($B$1,1,1)+(17-1)*7&lt;=$D115,DATE($B$1,1,1)+17*7-1&gt;=$C115),1,""))</f>
        <v/>
      </c>
      <c r="V115" s="10">
        <f>IF(OR($C115="",$D115=""),"",IF(AND(DATE($B$1,1,1)+(18-1)*7&lt;=$D115,DATE($B$1,1,1)+18*7-1&gt;=$C115),1,""))</f>
        <v/>
      </c>
      <c r="W115" s="10">
        <f>IF(OR($C115="",$D115=""),"",IF(AND(DATE($B$1,1,1)+(19-1)*7&lt;=$D115,DATE($B$1,1,1)+19*7-1&gt;=$C115),1,""))</f>
        <v/>
      </c>
      <c r="X115" s="10">
        <f>IF(OR($C115="",$D115=""),"",IF(AND(DATE($B$1,1,1)+(20-1)*7&lt;=$D115,DATE($B$1,1,1)+20*7-1&gt;=$C115),1,""))</f>
        <v/>
      </c>
      <c r="Y115" s="10">
        <f>IF(OR($C115="",$D115=""),"",IF(AND(DATE($B$1,1,1)+(21-1)*7&lt;=$D115,DATE($B$1,1,1)+21*7-1&gt;=$C115),1,""))</f>
        <v/>
      </c>
      <c r="Z115" s="10">
        <f>IF(OR($C115="",$D115=""),"",IF(AND(DATE($B$1,1,1)+(22-1)*7&lt;=$D115,DATE($B$1,1,1)+22*7-1&gt;=$C115),1,""))</f>
        <v/>
      </c>
      <c r="AA115" s="10">
        <f>IF(OR($C115="",$D115=""),"",IF(AND(DATE($B$1,1,1)+(23-1)*7&lt;=$D115,DATE($B$1,1,1)+23*7-1&gt;=$C115),1,""))</f>
        <v/>
      </c>
      <c r="AB115" s="10">
        <f>IF(OR($C115="",$D115=""),"",IF(AND(DATE($B$1,1,1)+(24-1)*7&lt;=$D115,DATE($B$1,1,1)+24*7-1&gt;=$C115),1,""))</f>
        <v/>
      </c>
      <c r="AC115" s="10">
        <f>IF(OR($C115="",$D115=""),"",IF(AND(DATE($B$1,1,1)+(25-1)*7&lt;=$D115,DATE($B$1,1,1)+25*7-1&gt;=$C115),1,""))</f>
        <v/>
      </c>
      <c r="AD115" s="10">
        <f>IF(OR($C115="",$D115=""),"",IF(AND(DATE($B$1,1,1)+(26-1)*7&lt;=$D115,DATE($B$1,1,1)+26*7-1&gt;=$C115),1,""))</f>
        <v/>
      </c>
      <c r="AE115" s="10">
        <f>IF(OR($C115="",$D115=""),"",IF(AND(DATE($B$1,1,1)+(27-1)*7&lt;=$D115,DATE($B$1,1,1)+27*7-1&gt;=$C115),1,""))</f>
        <v/>
      </c>
      <c r="AF115" s="10">
        <f>IF(OR($C115="",$D115=""),"",IF(AND(DATE($B$1,1,1)+(28-1)*7&lt;=$D115,DATE($B$1,1,1)+28*7-1&gt;=$C115),1,""))</f>
        <v/>
      </c>
      <c r="AG115" s="10">
        <f>IF(OR($C115="",$D115=""),"",IF(AND(DATE($B$1,1,1)+(29-1)*7&lt;=$D115,DATE($B$1,1,1)+29*7-1&gt;=$C115),1,""))</f>
        <v/>
      </c>
      <c r="AH115" s="10">
        <f>IF(OR($C115="",$D115=""),"",IF(AND(DATE($B$1,1,1)+(30-1)*7&lt;=$D115,DATE($B$1,1,1)+30*7-1&gt;=$C115),1,""))</f>
        <v/>
      </c>
      <c r="AI115" s="10">
        <f>IF(OR($C115="",$D115=""),"",IF(AND(DATE($B$1,1,1)+(31-1)*7&lt;=$D115,DATE($B$1,1,1)+31*7-1&gt;=$C115),1,""))</f>
        <v/>
      </c>
      <c r="AJ115" s="10">
        <f>IF(OR($C115="",$D115=""),"",IF(AND(DATE($B$1,1,1)+(32-1)*7&lt;=$D115,DATE($B$1,1,1)+32*7-1&gt;=$C115),1,""))</f>
        <v/>
      </c>
      <c r="AK115" s="10">
        <f>IF(OR($C115="",$D115=""),"",IF(AND(DATE($B$1,1,1)+(33-1)*7&lt;=$D115,DATE($B$1,1,1)+33*7-1&gt;=$C115),1,""))</f>
        <v/>
      </c>
      <c r="AL115" s="10">
        <f>IF(OR($C115="",$D115=""),"",IF(AND(DATE($B$1,1,1)+(34-1)*7&lt;=$D115,DATE($B$1,1,1)+34*7-1&gt;=$C115),1,""))</f>
        <v/>
      </c>
      <c r="AM115" s="10">
        <f>IF(OR($C115="",$D115=""),"",IF(AND(DATE($B$1,1,1)+(35-1)*7&lt;=$D115,DATE($B$1,1,1)+35*7-1&gt;=$C115),1,""))</f>
        <v/>
      </c>
      <c r="AN115" s="10">
        <f>IF(OR($C115="",$D115=""),"",IF(AND(DATE($B$1,1,1)+(36-1)*7&lt;=$D115,DATE($B$1,1,1)+36*7-1&gt;=$C115),1,""))</f>
        <v/>
      </c>
      <c r="AO115" s="10">
        <f>IF(OR($C115="",$D115=""),"",IF(AND(DATE($B$1,1,1)+(37-1)*7&lt;=$D115,DATE($B$1,1,1)+37*7-1&gt;=$C115),1,""))</f>
        <v/>
      </c>
      <c r="AP115" s="10">
        <f>IF(OR($C115="",$D115=""),"",IF(AND(DATE($B$1,1,1)+(38-1)*7&lt;=$D115,DATE($B$1,1,1)+38*7-1&gt;=$C115),1,""))</f>
        <v/>
      </c>
      <c r="AQ115" s="10">
        <f>IF(OR($C115="",$D115=""),"",IF(AND(DATE($B$1,1,1)+(39-1)*7&lt;=$D115,DATE($B$1,1,1)+39*7-1&gt;=$C115),1,""))</f>
        <v/>
      </c>
      <c r="AR115" s="10">
        <f>IF(OR($C115="",$D115=""),"",IF(AND(DATE($B$1,1,1)+(40-1)*7&lt;=$D115,DATE($B$1,1,1)+40*7-1&gt;=$C115),1,""))</f>
        <v/>
      </c>
      <c r="AS115" s="10">
        <f>IF(OR($C115="",$D115=""),"",IF(AND(DATE($B$1,1,1)+(41-1)*7&lt;=$D115,DATE($B$1,1,1)+41*7-1&gt;=$C115),1,""))</f>
        <v/>
      </c>
      <c r="AT115" s="10">
        <f>IF(OR($C115="",$D115=""),"",IF(AND(DATE($B$1,1,1)+(42-1)*7&lt;=$D115,DATE($B$1,1,1)+42*7-1&gt;=$C115),1,""))</f>
        <v/>
      </c>
      <c r="AU115" s="10">
        <f>IF(OR($C115="",$D115=""),"",IF(AND(DATE($B$1,1,1)+(43-1)*7&lt;=$D115,DATE($B$1,1,1)+43*7-1&gt;=$C115),1,""))</f>
        <v/>
      </c>
      <c r="AV115" s="10">
        <f>IF(OR($C115="",$D115=""),"",IF(AND(DATE($B$1,1,1)+(44-1)*7&lt;=$D115,DATE($B$1,1,1)+44*7-1&gt;=$C115),1,""))</f>
        <v/>
      </c>
      <c r="AW115" s="10">
        <f>IF(OR($C115="",$D115=""),"",IF(AND(DATE($B$1,1,1)+(45-1)*7&lt;=$D115,DATE($B$1,1,1)+45*7-1&gt;=$C115),1,""))</f>
        <v/>
      </c>
      <c r="AX115" s="10">
        <f>IF(OR($C115="",$D115=""),"",IF(AND(DATE($B$1,1,1)+(46-1)*7&lt;=$D115,DATE($B$1,1,1)+46*7-1&gt;=$C115),1,""))</f>
        <v/>
      </c>
      <c r="AY115" s="10">
        <f>IF(OR($C115="",$D115=""),"",IF(AND(DATE($B$1,1,1)+(47-1)*7&lt;=$D115,DATE($B$1,1,1)+47*7-1&gt;=$C115),1,""))</f>
        <v/>
      </c>
      <c r="AZ115" s="10">
        <f>IF(OR($C115="",$D115=""),"",IF(AND(DATE($B$1,1,1)+(48-1)*7&lt;=$D115,DATE($B$1,1,1)+48*7-1&gt;=$C115),1,""))</f>
        <v/>
      </c>
      <c r="BA115" s="10">
        <f>IF(OR($C115="",$D115=""),"",IF(AND(DATE($B$1,1,1)+(49-1)*7&lt;=$D115,DATE($B$1,1,1)+49*7-1&gt;=$C115),1,""))</f>
        <v/>
      </c>
      <c r="BB115" s="10">
        <f>IF(OR($C115="",$D115=""),"",IF(AND(DATE($B$1,1,1)+(50-1)*7&lt;=$D115,DATE($B$1,1,1)+50*7-1&gt;=$C115),1,""))</f>
        <v/>
      </c>
      <c r="BC115" s="10">
        <f>IF(OR($C115="",$D115=""),"",IF(AND(DATE($B$1,1,1)+(51-1)*7&lt;=$D115,DATE($B$1,1,1)+51*7-1&gt;=$C115),1,""))</f>
        <v/>
      </c>
      <c r="BD115" s="10">
        <f>IF(OR($C115="",$D115=""),"",IF(AND(DATE($B$1,1,1)+(52-1)*7&lt;=$D115,DATE($B$1,1,1)+52*7-1&gt;=$C115),1,""))</f>
        <v/>
      </c>
      <c r="BE115" s="10">
        <f>IF(OR($C115="",$D115=""),"",IF(AND(DATE($B$1,1,1)+(53-1)*7&lt;=$D115,DATE($B$1,1,1)+53*7-1&gt;=$C115),1,""))</f>
        <v/>
      </c>
      <c r="BF115" s="10">
        <f>IF(OR($C115="",$D115=""),"",IF(AND(DATE($B$1,1,1)+(54-1)*7&lt;=$D115,DATE($B$1,1,1)+54*7-1&gt;=$C115),1,""))</f>
        <v/>
      </c>
    </row>
    <row r="116">
      <c r="A116" s="6" t="n"/>
      <c r="B116" s="6" t="n"/>
      <c r="C116" s="11" t="n"/>
      <c r="D116" s="11" t="n"/>
      <c r="E116" s="10">
        <f>IF(OR($C116="",$D116=""),"",IF(AND(DATE($B$1,1,1)+(1-1)*7&lt;=$D116,DATE($B$1,1,1)+1*7-1&gt;=$C116),1,""))</f>
        <v/>
      </c>
      <c r="F116" s="10">
        <f>IF(OR($C116="",$D116=""),"",IF(AND(DATE($B$1,1,1)+(2-1)*7&lt;=$D116,DATE($B$1,1,1)+2*7-1&gt;=$C116),1,""))</f>
        <v/>
      </c>
      <c r="G116" s="10">
        <f>IF(OR($C116="",$D116=""),"",IF(AND(DATE($B$1,1,1)+(3-1)*7&lt;=$D116,DATE($B$1,1,1)+3*7-1&gt;=$C116),1,""))</f>
        <v/>
      </c>
      <c r="H116" s="10">
        <f>IF(OR($C116="",$D116=""),"",IF(AND(DATE($B$1,1,1)+(4-1)*7&lt;=$D116,DATE($B$1,1,1)+4*7-1&gt;=$C116),1,""))</f>
        <v/>
      </c>
      <c r="I116" s="10">
        <f>IF(OR($C116="",$D116=""),"",IF(AND(DATE($B$1,1,1)+(5-1)*7&lt;=$D116,DATE($B$1,1,1)+5*7-1&gt;=$C116),1,""))</f>
        <v/>
      </c>
      <c r="J116" s="10">
        <f>IF(OR($C116="",$D116=""),"",IF(AND(DATE($B$1,1,1)+(6-1)*7&lt;=$D116,DATE($B$1,1,1)+6*7-1&gt;=$C116),1,""))</f>
        <v/>
      </c>
      <c r="K116" s="10">
        <f>IF(OR($C116="",$D116=""),"",IF(AND(DATE($B$1,1,1)+(7-1)*7&lt;=$D116,DATE($B$1,1,1)+7*7-1&gt;=$C116),1,""))</f>
        <v/>
      </c>
      <c r="L116" s="10">
        <f>IF(OR($C116="",$D116=""),"",IF(AND(DATE($B$1,1,1)+(8-1)*7&lt;=$D116,DATE($B$1,1,1)+8*7-1&gt;=$C116),1,""))</f>
        <v/>
      </c>
      <c r="M116" s="10">
        <f>IF(OR($C116="",$D116=""),"",IF(AND(DATE($B$1,1,1)+(9-1)*7&lt;=$D116,DATE($B$1,1,1)+9*7-1&gt;=$C116),1,""))</f>
        <v/>
      </c>
      <c r="N116" s="10">
        <f>IF(OR($C116="",$D116=""),"",IF(AND(DATE($B$1,1,1)+(10-1)*7&lt;=$D116,DATE($B$1,1,1)+10*7-1&gt;=$C116),1,""))</f>
        <v/>
      </c>
      <c r="O116" s="10">
        <f>IF(OR($C116="",$D116=""),"",IF(AND(DATE($B$1,1,1)+(11-1)*7&lt;=$D116,DATE($B$1,1,1)+11*7-1&gt;=$C116),1,""))</f>
        <v/>
      </c>
      <c r="P116" s="10">
        <f>IF(OR($C116="",$D116=""),"",IF(AND(DATE($B$1,1,1)+(12-1)*7&lt;=$D116,DATE($B$1,1,1)+12*7-1&gt;=$C116),1,""))</f>
        <v/>
      </c>
      <c r="Q116" s="10">
        <f>IF(OR($C116="",$D116=""),"",IF(AND(DATE($B$1,1,1)+(13-1)*7&lt;=$D116,DATE($B$1,1,1)+13*7-1&gt;=$C116),1,""))</f>
        <v/>
      </c>
      <c r="R116" s="10">
        <f>IF(OR($C116="",$D116=""),"",IF(AND(DATE($B$1,1,1)+(14-1)*7&lt;=$D116,DATE($B$1,1,1)+14*7-1&gt;=$C116),1,""))</f>
        <v/>
      </c>
      <c r="S116" s="10">
        <f>IF(OR($C116="",$D116=""),"",IF(AND(DATE($B$1,1,1)+(15-1)*7&lt;=$D116,DATE($B$1,1,1)+15*7-1&gt;=$C116),1,""))</f>
        <v/>
      </c>
      <c r="T116" s="10">
        <f>IF(OR($C116="",$D116=""),"",IF(AND(DATE($B$1,1,1)+(16-1)*7&lt;=$D116,DATE($B$1,1,1)+16*7-1&gt;=$C116),1,""))</f>
        <v/>
      </c>
      <c r="U116" s="10">
        <f>IF(OR($C116="",$D116=""),"",IF(AND(DATE($B$1,1,1)+(17-1)*7&lt;=$D116,DATE($B$1,1,1)+17*7-1&gt;=$C116),1,""))</f>
        <v/>
      </c>
      <c r="V116" s="10">
        <f>IF(OR($C116="",$D116=""),"",IF(AND(DATE($B$1,1,1)+(18-1)*7&lt;=$D116,DATE($B$1,1,1)+18*7-1&gt;=$C116),1,""))</f>
        <v/>
      </c>
      <c r="W116" s="10">
        <f>IF(OR($C116="",$D116=""),"",IF(AND(DATE($B$1,1,1)+(19-1)*7&lt;=$D116,DATE($B$1,1,1)+19*7-1&gt;=$C116),1,""))</f>
        <v/>
      </c>
      <c r="X116" s="10">
        <f>IF(OR($C116="",$D116=""),"",IF(AND(DATE($B$1,1,1)+(20-1)*7&lt;=$D116,DATE($B$1,1,1)+20*7-1&gt;=$C116),1,""))</f>
        <v/>
      </c>
      <c r="Y116" s="10">
        <f>IF(OR($C116="",$D116=""),"",IF(AND(DATE($B$1,1,1)+(21-1)*7&lt;=$D116,DATE($B$1,1,1)+21*7-1&gt;=$C116),1,""))</f>
        <v/>
      </c>
      <c r="Z116" s="10">
        <f>IF(OR($C116="",$D116=""),"",IF(AND(DATE($B$1,1,1)+(22-1)*7&lt;=$D116,DATE($B$1,1,1)+22*7-1&gt;=$C116),1,""))</f>
        <v/>
      </c>
      <c r="AA116" s="10">
        <f>IF(OR($C116="",$D116=""),"",IF(AND(DATE($B$1,1,1)+(23-1)*7&lt;=$D116,DATE($B$1,1,1)+23*7-1&gt;=$C116),1,""))</f>
        <v/>
      </c>
      <c r="AB116" s="10">
        <f>IF(OR($C116="",$D116=""),"",IF(AND(DATE($B$1,1,1)+(24-1)*7&lt;=$D116,DATE($B$1,1,1)+24*7-1&gt;=$C116),1,""))</f>
        <v/>
      </c>
      <c r="AC116" s="10">
        <f>IF(OR($C116="",$D116=""),"",IF(AND(DATE($B$1,1,1)+(25-1)*7&lt;=$D116,DATE($B$1,1,1)+25*7-1&gt;=$C116),1,""))</f>
        <v/>
      </c>
      <c r="AD116" s="10">
        <f>IF(OR($C116="",$D116=""),"",IF(AND(DATE($B$1,1,1)+(26-1)*7&lt;=$D116,DATE($B$1,1,1)+26*7-1&gt;=$C116),1,""))</f>
        <v/>
      </c>
      <c r="AE116" s="10">
        <f>IF(OR($C116="",$D116=""),"",IF(AND(DATE($B$1,1,1)+(27-1)*7&lt;=$D116,DATE($B$1,1,1)+27*7-1&gt;=$C116),1,""))</f>
        <v/>
      </c>
      <c r="AF116" s="10">
        <f>IF(OR($C116="",$D116=""),"",IF(AND(DATE($B$1,1,1)+(28-1)*7&lt;=$D116,DATE($B$1,1,1)+28*7-1&gt;=$C116),1,""))</f>
        <v/>
      </c>
      <c r="AG116" s="10">
        <f>IF(OR($C116="",$D116=""),"",IF(AND(DATE($B$1,1,1)+(29-1)*7&lt;=$D116,DATE($B$1,1,1)+29*7-1&gt;=$C116),1,""))</f>
        <v/>
      </c>
      <c r="AH116" s="10">
        <f>IF(OR($C116="",$D116=""),"",IF(AND(DATE($B$1,1,1)+(30-1)*7&lt;=$D116,DATE($B$1,1,1)+30*7-1&gt;=$C116),1,""))</f>
        <v/>
      </c>
      <c r="AI116" s="10">
        <f>IF(OR($C116="",$D116=""),"",IF(AND(DATE($B$1,1,1)+(31-1)*7&lt;=$D116,DATE($B$1,1,1)+31*7-1&gt;=$C116),1,""))</f>
        <v/>
      </c>
      <c r="AJ116" s="10">
        <f>IF(OR($C116="",$D116=""),"",IF(AND(DATE($B$1,1,1)+(32-1)*7&lt;=$D116,DATE($B$1,1,1)+32*7-1&gt;=$C116),1,""))</f>
        <v/>
      </c>
      <c r="AK116" s="10">
        <f>IF(OR($C116="",$D116=""),"",IF(AND(DATE($B$1,1,1)+(33-1)*7&lt;=$D116,DATE($B$1,1,1)+33*7-1&gt;=$C116),1,""))</f>
        <v/>
      </c>
      <c r="AL116" s="10">
        <f>IF(OR($C116="",$D116=""),"",IF(AND(DATE($B$1,1,1)+(34-1)*7&lt;=$D116,DATE($B$1,1,1)+34*7-1&gt;=$C116),1,""))</f>
        <v/>
      </c>
      <c r="AM116" s="10">
        <f>IF(OR($C116="",$D116=""),"",IF(AND(DATE($B$1,1,1)+(35-1)*7&lt;=$D116,DATE($B$1,1,1)+35*7-1&gt;=$C116),1,""))</f>
        <v/>
      </c>
      <c r="AN116" s="10">
        <f>IF(OR($C116="",$D116=""),"",IF(AND(DATE($B$1,1,1)+(36-1)*7&lt;=$D116,DATE($B$1,1,1)+36*7-1&gt;=$C116),1,""))</f>
        <v/>
      </c>
      <c r="AO116" s="10">
        <f>IF(OR($C116="",$D116=""),"",IF(AND(DATE($B$1,1,1)+(37-1)*7&lt;=$D116,DATE($B$1,1,1)+37*7-1&gt;=$C116),1,""))</f>
        <v/>
      </c>
      <c r="AP116" s="10">
        <f>IF(OR($C116="",$D116=""),"",IF(AND(DATE($B$1,1,1)+(38-1)*7&lt;=$D116,DATE($B$1,1,1)+38*7-1&gt;=$C116),1,""))</f>
        <v/>
      </c>
      <c r="AQ116" s="10">
        <f>IF(OR($C116="",$D116=""),"",IF(AND(DATE($B$1,1,1)+(39-1)*7&lt;=$D116,DATE($B$1,1,1)+39*7-1&gt;=$C116),1,""))</f>
        <v/>
      </c>
      <c r="AR116" s="10">
        <f>IF(OR($C116="",$D116=""),"",IF(AND(DATE($B$1,1,1)+(40-1)*7&lt;=$D116,DATE($B$1,1,1)+40*7-1&gt;=$C116),1,""))</f>
        <v/>
      </c>
      <c r="AS116" s="10">
        <f>IF(OR($C116="",$D116=""),"",IF(AND(DATE($B$1,1,1)+(41-1)*7&lt;=$D116,DATE($B$1,1,1)+41*7-1&gt;=$C116),1,""))</f>
        <v/>
      </c>
      <c r="AT116" s="10">
        <f>IF(OR($C116="",$D116=""),"",IF(AND(DATE($B$1,1,1)+(42-1)*7&lt;=$D116,DATE($B$1,1,1)+42*7-1&gt;=$C116),1,""))</f>
        <v/>
      </c>
      <c r="AU116" s="10">
        <f>IF(OR($C116="",$D116=""),"",IF(AND(DATE($B$1,1,1)+(43-1)*7&lt;=$D116,DATE($B$1,1,1)+43*7-1&gt;=$C116),1,""))</f>
        <v/>
      </c>
      <c r="AV116" s="10">
        <f>IF(OR($C116="",$D116=""),"",IF(AND(DATE($B$1,1,1)+(44-1)*7&lt;=$D116,DATE($B$1,1,1)+44*7-1&gt;=$C116),1,""))</f>
        <v/>
      </c>
      <c r="AW116" s="10">
        <f>IF(OR($C116="",$D116=""),"",IF(AND(DATE($B$1,1,1)+(45-1)*7&lt;=$D116,DATE($B$1,1,1)+45*7-1&gt;=$C116),1,""))</f>
        <v/>
      </c>
      <c r="AX116" s="10">
        <f>IF(OR($C116="",$D116=""),"",IF(AND(DATE($B$1,1,1)+(46-1)*7&lt;=$D116,DATE($B$1,1,1)+46*7-1&gt;=$C116),1,""))</f>
        <v/>
      </c>
      <c r="AY116" s="10">
        <f>IF(OR($C116="",$D116=""),"",IF(AND(DATE($B$1,1,1)+(47-1)*7&lt;=$D116,DATE($B$1,1,1)+47*7-1&gt;=$C116),1,""))</f>
        <v/>
      </c>
      <c r="AZ116" s="10">
        <f>IF(OR($C116="",$D116=""),"",IF(AND(DATE($B$1,1,1)+(48-1)*7&lt;=$D116,DATE($B$1,1,1)+48*7-1&gt;=$C116),1,""))</f>
        <v/>
      </c>
      <c r="BA116" s="10">
        <f>IF(OR($C116="",$D116=""),"",IF(AND(DATE($B$1,1,1)+(49-1)*7&lt;=$D116,DATE($B$1,1,1)+49*7-1&gt;=$C116),1,""))</f>
        <v/>
      </c>
      <c r="BB116" s="10">
        <f>IF(OR($C116="",$D116=""),"",IF(AND(DATE($B$1,1,1)+(50-1)*7&lt;=$D116,DATE($B$1,1,1)+50*7-1&gt;=$C116),1,""))</f>
        <v/>
      </c>
      <c r="BC116" s="10">
        <f>IF(OR($C116="",$D116=""),"",IF(AND(DATE($B$1,1,1)+(51-1)*7&lt;=$D116,DATE($B$1,1,1)+51*7-1&gt;=$C116),1,""))</f>
        <v/>
      </c>
      <c r="BD116" s="10">
        <f>IF(OR($C116="",$D116=""),"",IF(AND(DATE($B$1,1,1)+(52-1)*7&lt;=$D116,DATE($B$1,1,1)+52*7-1&gt;=$C116),1,""))</f>
        <v/>
      </c>
      <c r="BE116" s="10">
        <f>IF(OR($C116="",$D116=""),"",IF(AND(DATE($B$1,1,1)+(53-1)*7&lt;=$D116,DATE($B$1,1,1)+53*7-1&gt;=$C116),1,""))</f>
        <v/>
      </c>
      <c r="BF116" s="10">
        <f>IF(OR($C116="",$D116=""),"",IF(AND(DATE($B$1,1,1)+(54-1)*7&lt;=$D116,DATE($B$1,1,1)+54*7-1&gt;=$C116),1,""))</f>
        <v/>
      </c>
    </row>
    <row r="117">
      <c r="A117" s="6" t="n"/>
      <c r="B117" s="6" t="n"/>
      <c r="C117" s="11" t="n"/>
      <c r="D117" s="11" t="n"/>
      <c r="E117" s="10">
        <f>IF(OR($C117="",$D117=""),"",IF(AND(DATE($B$1,1,1)+(1-1)*7&lt;=$D117,DATE($B$1,1,1)+1*7-1&gt;=$C117),1,""))</f>
        <v/>
      </c>
      <c r="F117" s="10">
        <f>IF(OR($C117="",$D117=""),"",IF(AND(DATE($B$1,1,1)+(2-1)*7&lt;=$D117,DATE($B$1,1,1)+2*7-1&gt;=$C117),1,""))</f>
        <v/>
      </c>
      <c r="G117" s="10">
        <f>IF(OR($C117="",$D117=""),"",IF(AND(DATE($B$1,1,1)+(3-1)*7&lt;=$D117,DATE($B$1,1,1)+3*7-1&gt;=$C117),1,""))</f>
        <v/>
      </c>
      <c r="H117" s="10">
        <f>IF(OR($C117="",$D117=""),"",IF(AND(DATE($B$1,1,1)+(4-1)*7&lt;=$D117,DATE($B$1,1,1)+4*7-1&gt;=$C117),1,""))</f>
        <v/>
      </c>
      <c r="I117" s="10">
        <f>IF(OR($C117="",$D117=""),"",IF(AND(DATE($B$1,1,1)+(5-1)*7&lt;=$D117,DATE($B$1,1,1)+5*7-1&gt;=$C117),1,""))</f>
        <v/>
      </c>
      <c r="J117" s="10">
        <f>IF(OR($C117="",$D117=""),"",IF(AND(DATE($B$1,1,1)+(6-1)*7&lt;=$D117,DATE($B$1,1,1)+6*7-1&gt;=$C117),1,""))</f>
        <v/>
      </c>
      <c r="K117" s="10">
        <f>IF(OR($C117="",$D117=""),"",IF(AND(DATE($B$1,1,1)+(7-1)*7&lt;=$D117,DATE($B$1,1,1)+7*7-1&gt;=$C117),1,""))</f>
        <v/>
      </c>
      <c r="L117" s="10">
        <f>IF(OR($C117="",$D117=""),"",IF(AND(DATE($B$1,1,1)+(8-1)*7&lt;=$D117,DATE($B$1,1,1)+8*7-1&gt;=$C117),1,""))</f>
        <v/>
      </c>
      <c r="M117" s="10">
        <f>IF(OR($C117="",$D117=""),"",IF(AND(DATE($B$1,1,1)+(9-1)*7&lt;=$D117,DATE($B$1,1,1)+9*7-1&gt;=$C117),1,""))</f>
        <v/>
      </c>
      <c r="N117" s="10">
        <f>IF(OR($C117="",$D117=""),"",IF(AND(DATE($B$1,1,1)+(10-1)*7&lt;=$D117,DATE($B$1,1,1)+10*7-1&gt;=$C117),1,""))</f>
        <v/>
      </c>
      <c r="O117" s="10">
        <f>IF(OR($C117="",$D117=""),"",IF(AND(DATE($B$1,1,1)+(11-1)*7&lt;=$D117,DATE($B$1,1,1)+11*7-1&gt;=$C117),1,""))</f>
        <v/>
      </c>
      <c r="P117" s="10">
        <f>IF(OR($C117="",$D117=""),"",IF(AND(DATE($B$1,1,1)+(12-1)*7&lt;=$D117,DATE($B$1,1,1)+12*7-1&gt;=$C117),1,""))</f>
        <v/>
      </c>
      <c r="Q117" s="10">
        <f>IF(OR($C117="",$D117=""),"",IF(AND(DATE($B$1,1,1)+(13-1)*7&lt;=$D117,DATE($B$1,1,1)+13*7-1&gt;=$C117),1,""))</f>
        <v/>
      </c>
      <c r="R117" s="10">
        <f>IF(OR($C117="",$D117=""),"",IF(AND(DATE($B$1,1,1)+(14-1)*7&lt;=$D117,DATE($B$1,1,1)+14*7-1&gt;=$C117),1,""))</f>
        <v/>
      </c>
      <c r="S117" s="10">
        <f>IF(OR($C117="",$D117=""),"",IF(AND(DATE($B$1,1,1)+(15-1)*7&lt;=$D117,DATE($B$1,1,1)+15*7-1&gt;=$C117),1,""))</f>
        <v/>
      </c>
      <c r="T117" s="10">
        <f>IF(OR($C117="",$D117=""),"",IF(AND(DATE($B$1,1,1)+(16-1)*7&lt;=$D117,DATE($B$1,1,1)+16*7-1&gt;=$C117),1,""))</f>
        <v/>
      </c>
      <c r="U117" s="10">
        <f>IF(OR($C117="",$D117=""),"",IF(AND(DATE($B$1,1,1)+(17-1)*7&lt;=$D117,DATE($B$1,1,1)+17*7-1&gt;=$C117),1,""))</f>
        <v/>
      </c>
      <c r="V117" s="10">
        <f>IF(OR($C117="",$D117=""),"",IF(AND(DATE($B$1,1,1)+(18-1)*7&lt;=$D117,DATE($B$1,1,1)+18*7-1&gt;=$C117),1,""))</f>
        <v/>
      </c>
      <c r="W117" s="10">
        <f>IF(OR($C117="",$D117=""),"",IF(AND(DATE($B$1,1,1)+(19-1)*7&lt;=$D117,DATE($B$1,1,1)+19*7-1&gt;=$C117),1,""))</f>
        <v/>
      </c>
      <c r="X117" s="10">
        <f>IF(OR($C117="",$D117=""),"",IF(AND(DATE($B$1,1,1)+(20-1)*7&lt;=$D117,DATE($B$1,1,1)+20*7-1&gt;=$C117),1,""))</f>
        <v/>
      </c>
      <c r="Y117" s="10">
        <f>IF(OR($C117="",$D117=""),"",IF(AND(DATE($B$1,1,1)+(21-1)*7&lt;=$D117,DATE($B$1,1,1)+21*7-1&gt;=$C117),1,""))</f>
        <v/>
      </c>
      <c r="Z117" s="10">
        <f>IF(OR($C117="",$D117=""),"",IF(AND(DATE($B$1,1,1)+(22-1)*7&lt;=$D117,DATE($B$1,1,1)+22*7-1&gt;=$C117),1,""))</f>
        <v/>
      </c>
      <c r="AA117" s="10">
        <f>IF(OR($C117="",$D117=""),"",IF(AND(DATE($B$1,1,1)+(23-1)*7&lt;=$D117,DATE($B$1,1,1)+23*7-1&gt;=$C117),1,""))</f>
        <v/>
      </c>
      <c r="AB117" s="10">
        <f>IF(OR($C117="",$D117=""),"",IF(AND(DATE($B$1,1,1)+(24-1)*7&lt;=$D117,DATE($B$1,1,1)+24*7-1&gt;=$C117),1,""))</f>
        <v/>
      </c>
      <c r="AC117" s="10">
        <f>IF(OR($C117="",$D117=""),"",IF(AND(DATE($B$1,1,1)+(25-1)*7&lt;=$D117,DATE($B$1,1,1)+25*7-1&gt;=$C117),1,""))</f>
        <v/>
      </c>
      <c r="AD117" s="10">
        <f>IF(OR($C117="",$D117=""),"",IF(AND(DATE($B$1,1,1)+(26-1)*7&lt;=$D117,DATE($B$1,1,1)+26*7-1&gt;=$C117),1,""))</f>
        <v/>
      </c>
      <c r="AE117" s="10">
        <f>IF(OR($C117="",$D117=""),"",IF(AND(DATE($B$1,1,1)+(27-1)*7&lt;=$D117,DATE($B$1,1,1)+27*7-1&gt;=$C117),1,""))</f>
        <v/>
      </c>
      <c r="AF117" s="10">
        <f>IF(OR($C117="",$D117=""),"",IF(AND(DATE($B$1,1,1)+(28-1)*7&lt;=$D117,DATE($B$1,1,1)+28*7-1&gt;=$C117),1,""))</f>
        <v/>
      </c>
      <c r="AG117" s="10">
        <f>IF(OR($C117="",$D117=""),"",IF(AND(DATE($B$1,1,1)+(29-1)*7&lt;=$D117,DATE($B$1,1,1)+29*7-1&gt;=$C117),1,""))</f>
        <v/>
      </c>
      <c r="AH117" s="10">
        <f>IF(OR($C117="",$D117=""),"",IF(AND(DATE($B$1,1,1)+(30-1)*7&lt;=$D117,DATE($B$1,1,1)+30*7-1&gt;=$C117),1,""))</f>
        <v/>
      </c>
      <c r="AI117" s="10">
        <f>IF(OR($C117="",$D117=""),"",IF(AND(DATE($B$1,1,1)+(31-1)*7&lt;=$D117,DATE($B$1,1,1)+31*7-1&gt;=$C117),1,""))</f>
        <v/>
      </c>
      <c r="AJ117" s="10">
        <f>IF(OR($C117="",$D117=""),"",IF(AND(DATE($B$1,1,1)+(32-1)*7&lt;=$D117,DATE($B$1,1,1)+32*7-1&gt;=$C117),1,""))</f>
        <v/>
      </c>
      <c r="AK117" s="10">
        <f>IF(OR($C117="",$D117=""),"",IF(AND(DATE($B$1,1,1)+(33-1)*7&lt;=$D117,DATE($B$1,1,1)+33*7-1&gt;=$C117),1,""))</f>
        <v/>
      </c>
      <c r="AL117" s="10">
        <f>IF(OR($C117="",$D117=""),"",IF(AND(DATE($B$1,1,1)+(34-1)*7&lt;=$D117,DATE($B$1,1,1)+34*7-1&gt;=$C117),1,""))</f>
        <v/>
      </c>
      <c r="AM117" s="10">
        <f>IF(OR($C117="",$D117=""),"",IF(AND(DATE($B$1,1,1)+(35-1)*7&lt;=$D117,DATE($B$1,1,1)+35*7-1&gt;=$C117),1,""))</f>
        <v/>
      </c>
      <c r="AN117" s="10">
        <f>IF(OR($C117="",$D117=""),"",IF(AND(DATE($B$1,1,1)+(36-1)*7&lt;=$D117,DATE($B$1,1,1)+36*7-1&gt;=$C117),1,""))</f>
        <v/>
      </c>
      <c r="AO117" s="10">
        <f>IF(OR($C117="",$D117=""),"",IF(AND(DATE($B$1,1,1)+(37-1)*7&lt;=$D117,DATE($B$1,1,1)+37*7-1&gt;=$C117),1,""))</f>
        <v/>
      </c>
      <c r="AP117" s="10">
        <f>IF(OR($C117="",$D117=""),"",IF(AND(DATE($B$1,1,1)+(38-1)*7&lt;=$D117,DATE($B$1,1,1)+38*7-1&gt;=$C117),1,""))</f>
        <v/>
      </c>
      <c r="AQ117" s="10">
        <f>IF(OR($C117="",$D117=""),"",IF(AND(DATE($B$1,1,1)+(39-1)*7&lt;=$D117,DATE($B$1,1,1)+39*7-1&gt;=$C117),1,""))</f>
        <v/>
      </c>
      <c r="AR117" s="10">
        <f>IF(OR($C117="",$D117=""),"",IF(AND(DATE($B$1,1,1)+(40-1)*7&lt;=$D117,DATE($B$1,1,1)+40*7-1&gt;=$C117),1,""))</f>
        <v/>
      </c>
      <c r="AS117" s="10">
        <f>IF(OR($C117="",$D117=""),"",IF(AND(DATE($B$1,1,1)+(41-1)*7&lt;=$D117,DATE($B$1,1,1)+41*7-1&gt;=$C117),1,""))</f>
        <v/>
      </c>
      <c r="AT117" s="10">
        <f>IF(OR($C117="",$D117=""),"",IF(AND(DATE($B$1,1,1)+(42-1)*7&lt;=$D117,DATE($B$1,1,1)+42*7-1&gt;=$C117),1,""))</f>
        <v/>
      </c>
      <c r="AU117" s="10">
        <f>IF(OR($C117="",$D117=""),"",IF(AND(DATE($B$1,1,1)+(43-1)*7&lt;=$D117,DATE($B$1,1,1)+43*7-1&gt;=$C117),1,""))</f>
        <v/>
      </c>
      <c r="AV117" s="10">
        <f>IF(OR($C117="",$D117=""),"",IF(AND(DATE($B$1,1,1)+(44-1)*7&lt;=$D117,DATE($B$1,1,1)+44*7-1&gt;=$C117),1,""))</f>
        <v/>
      </c>
      <c r="AW117" s="10">
        <f>IF(OR($C117="",$D117=""),"",IF(AND(DATE($B$1,1,1)+(45-1)*7&lt;=$D117,DATE($B$1,1,1)+45*7-1&gt;=$C117),1,""))</f>
        <v/>
      </c>
      <c r="AX117" s="10">
        <f>IF(OR($C117="",$D117=""),"",IF(AND(DATE($B$1,1,1)+(46-1)*7&lt;=$D117,DATE($B$1,1,1)+46*7-1&gt;=$C117),1,""))</f>
        <v/>
      </c>
      <c r="AY117" s="10">
        <f>IF(OR($C117="",$D117=""),"",IF(AND(DATE($B$1,1,1)+(47-1)*7&lt;=$D117,DATE($B$1,1,1)+47*7-1&gt;=$C117),1,""))</f>
        <v/>
      </c>
      <c r="AZ117" s="10">
        <f>IF(OR($C117="",$D117=""),"",IF(AND(DATE($B$1,1,1)+(48-1)*7&lt;=$D117,DATE($B$1,1,1)+48*7-1&gt;=$C117),1,""))</f>
        <v/>
      </c>
      <c r="BA117" s="10">
        <f>IF(OR($C117="",$D117=""),"",IF(AND(DATE($B$1,1,1)+(49-1)*7&lt;=$D117,DATE($B$1,1,1)+49*7-1&gt;=$C117),1,""))</f>
        <v/>
      </c>
      <c r="BB117" s="10">
        <f>IF(OR($C117="",$D117=""),"",IF(AND(DATE($B$1,1,1)+(50-1)*7&lt;=$D117,DATE($B$1,1,1)+50*7-1&gt;=$C117),1,""))</f>
        <v/>
      </c>
      <c r="BC117" s="10">
        <f>IF(OR($C117="",$D117=""),"",IF(AND(DATE($B$1,1,1)+(51-1)*7&lt;=$D117,DATE($B$1,1,1)+51*7-1&gt;=$C117),1,""))</f>
        <v/>
      </c>
      <c r="BD117" s="10">
        <f>IF(OR($C117="",$D117=""),"",IF(AND(DATE($B$1,1,1)+(52-1)*7&lt;=$D117,DATE($B$1,1,1)+52*7-1&gt;=$C117),1,""))</f>
        <v/>
      </c>
      <c r="BE117" s="10">
        <f>IF(OR($C117="",$D117=""),"",IF(AND(DATE($B$1,1,1)+(53-1)*7&lt;=$D117,DATE($B$1,1,1)+53*7-1&gt;=$C117),1,""))</f>
        <v/>
      </c>
      <c r="BF117" s="10">
        <f>IF(OR($C117="",$D117=""),"",IF(AND(DATE($B$1,1,1)+(54-1)*7&lt;=$D117,DATE($B$1,1,1)+54*7-1&gt;=$C117),1,""))</f>
        <v/>
      </c>
    </row>
    <row r="118">
      <c r="A118" s="6" t="n"/>
      <c r="B118" s="6" t="n"/>
      <c r="C118" s="11" t="n"/>
      <c r="D118" s="11" t="n"/>
      <c r="E118" s="10">
        <f>IF(OR($C118="",$D118=""),"",IF(AND(DATE($B$1,1,1)+(1-1)*7&lt;=$D118,DATE($B$1,1,1)+1*7-1&gt;=$C118),1,""))</f>
        <v/>
      </c>
      <c r="F118" s="10">
        <f>IF(OR($C118="",$D118=""),"",IF(AND(DATE($B$1,1,1)+(2-1)*7&lt;=$D118,DATE($B$1,1,1)+2*7-1&gt;=$C118),1,""))</f>
        <v/>
      </c>
      <c r="G118" s="10">
        <f>IF(OR($C118="",$D118=""),"",IF(AND(DATE($B$1,1,1)+(3-1)*7&lt;=$D118,DATE($B$1,1,1)+3*7-1&gt;=$C118),1,""))</f>
        <v/>
      </c>
      <c r="H118" s="10">
        <f>IF(OR($C118="",$D118=""),"",IF(AND(DATE($B$1,1,1)+(4-1)*7&lt;=$D118,DATE($B$1,1,1)+4*7-1&gt;=$C118),1,""))</f>
        <v/>
      </c>
      <c r="I118" s="10">
        <f>IF(OR($C118="",$D118=""),"",IF(AND(DATE($B$1,1,1)+(5-1)*7&lt;=$D118,DATE($B$1,1,1)+5*7-1&gt;=$C118),1,""))</f>
        <v/>
      </c>
      <c r="J118" s="10">
        <f>IF(OR($C118="",$D118=""),"",IF(AND(DATE($B$1,1,1)+(6-1)*7&lt;=$D118,DATE($B$1,1,1)+6*7-1&gt;=$C118),1,""))</f>
        <v/>
      </c>
      <c r="K118" s="10">
        <f>IF(OR($C118="",$D118=""),"",IF(AND(DATE($B$1,1,1)+(7-1)*7&lt;=$D118,DATE($B$1,1,1)+7*7-1&gt;=$C118),1,""))</f>
        <v/>
      </c>
      <c r="L118" s="10">
        <f>IF(OR($C118="",$D118=""),"",IF(AND(DATE($B$1,1,1)+(8-1)*7&lt;=$D118,DATE($B$1,1,1)+8*7-1&gt;=$C118),1,""))</f>
        <v/>
      </c>
      <c r="M118" s="10">
        <f>IF(OR($C118="",$D118=""),"",IF(AND(DATE($B$1,1,1)+(9-1)*7&lt;=$D118,DATE($B$1,1,1)+9*7-1&gt;=$C118),1,""))</f>
        <v/>
      </c>
      <c r="N118" s="10">
        <f>IF(OR($C118="",$D118=""),"",IF(AND(DATE($B$1,1,1)+(10-1)*7&lt;=$D118,DATE($B$1,1,1)+10*7-1&gt;=$C118),1,""))</f>
        <v/>
      </c>
      <c r="O118" s="10">
        <f>IF(OR($C118="",$D118=""),"",IF(AND(DATE($B$1,1,1)+(11-1)*7&lt;=$D118,DATE($B$1,1,1)+11*7-1&gt;=$C118),1,""))</f>
        <v/>
      </c>
      <c r="P118" s="10">
        <f>IF(OR($C118="",$D118=""),"",IF(AND(DATE($B$1,1,1)+(12-1)*7&lt;=$D118,DATE($B$1,1,1)+12*7-1&gt;=$C118),1,""))</f>
        <v/>
      </c>
      <c r="Q118" s="10">
        <f>IF(OR($C118="",$D118=""),"",IF(AND(DATE($B$1,1,1)+(13-1)*7&lt;=$D118,DATE($B$1,1,1)+13*7-1&gt;=$C118),1,""))</f>
        <v/>
      </c>
      <c r="R118" s="10">
        <f>IF(OR($C118="",$D118=""),"",IF(AND(DATE($B$1,1,1)+(14-1)*7&lt;=$D118,DATE($B$1,1,1)+14*7-1&gt;=$C118),1,""))</f>
        <v/>
      </c>
      <c r="S118" s="10">
        <f>IF(OR($C118="",$D118=""),"",IF(AND(DATE($B$1,1,1)+(15-1)*7&lt;=$D118,DATE($B$1,1,1)+15*7-1&gt;=$C118),1,""))</f>
        <v/>
      </c>
      <c r="T118" s="10">
        <f>IF(OR($C118="",$D118=""),"",IF(AND(DATE($B$1,1,1)+(16-1)*7&lt;=$D118,DATE($B$1,1,1)+16*7-1&gt;=$C118),1,""))</f>
        <v/>
      </c>
      <c r="U118" s="10">
        <f>IF(OR($C118="",$D118=""),"",IF(AND(DATE($B$1,1,1)+(17-1)*7&lt;=$D118,DATE($B$1,1,1)+17*7-1&gt;=$C118),1,""))</f>
        <v/>
      </c>
      <c r="V118" s="10">
        <f>IF(OR($C118="",$D118=""),"",IF(AND(DATE($B$1,1,1)+(18-1)*7&lt;=$D118,DATE($B$1,1,1)+18*7-1&gt;=$C118),1,""))</f>
        <v/>
      </c>
      <c r="W118" s="10">
        <f>IF(OR($C118="",$D118=""),"",IF(AND(DATE($B$1,1,1)+(19-1)*7&lt;=$D118,DATE($B$1,1,1)+19*7-1&gt;=$C118),1,""))</f>
        <v/>
      </c>
      <c r="X118" s="10">
        <f>IF(OR($C118="",$D118=""),"",IF(AND(DATE($B$1,1,1)+(20-1)*7&lt;=$D118,DATE($B$1,1,1)+20*7-1&gt;=$C118),1,""))</f>
        <v/>
      </c>
      <c r="Y118" s="10">
        <f>IF(OR($C118="",$D118=""),"",IF(AND(DATE($B$1,1,1)+(21-1)*7&lt;=$D118,DATE($B$1,1,1)+21*7-1&gt;=$C118),1,""))</f>
        <v/>
      </c>
      <c r="Z118" s="10">
        <f>IF(OR($C118="",$D118=""),"",IF(AND(DATE($B$1,1,1)+(22-1)*7&lt;=$D118,DATE($B$1,1,1)+22*7-1&gt;=$C118),1,""))</f>
        <v/>
      </c>
      <c r="AA118" s="10">
        <f>IF(OR($C118="",$D118=""),"",IF(AND(DATE($B$1,1,1)+(23-1)*7&lt;=$D118,DATE($B$1,1,1)+23*7-1&gt;=$C118),1,""))</f>
        <v/>
      </c>
      <c r="AB118" s="10">
        <f>IF(OR($C118="",$D118=""),"",IF(AND(DATE($B$1,1,1)+(24-1)*7&lt;=$D118,DATE($B$1,1,1)+24*7-1&gt;=$C118),1,""))</f>
        <v/>
      </c>
      <c r="AC118" s="10">
        <f>IF(OR($C118="",$D118=""),"",IF(AND(DATE($B$1,1,1)+(25-1)*7&lt;=$D118,DATE($B$1,1,1)+25*7-1&gt;=$C118),1,""))</f>
        <v/>
      </c>
      <c r="AD118" s="10">
        <f>IF(OR($C118="",$D118=""),"",IF(AND(DATE($B$1,1,1)+(26-1)*7&lt;=$D118,DATE($B$1,1,1)+26*7-1&gt;=$C118),1,""))</f>
        <v/>
      </c>
      <c r="AE118" s="10">
        <f>IF(OR($C118="",$D118=""),"",IF(AND(DATE($B$1,1,1)+(27-1)*7&lt;=$D118,DATE($B$1,1,1)+27*7-1&gt;=$C118),1,""))</f>
        <v/>
      </c>
      <c r="AF118" s="10">
        <f>IF(OR($C118="",$D118=""),"",IF(AND(DATE($B$1,1,1)+(28-1)*7&lt;=$D118,DATE($B$1,1,1)+28*7-1&gt;=$C118),1,""))</f>
        <v/>
      </c>
      <c r="AG118" s="10">
        <f>IF(OR($C118="",$D118=""),"",IF(AND(DATE($B$1,1,1)+(29-1)*7&lt;=$D118,DATE($B$1,1,1)+29*7-1&gt;=$C118),1,""))</f>
        <v/>
      </c>
      <c r="AH118" s="10">
        <f>IF(OR($C118="",$D118=""),"",IF(AND(DATE($B$1,1,1)+(30-1)*7&lt;=$D118,DATE($B$1,1,1)+30*7-1&gt;=$C118),1,""))</f>
        <v/>
      </c>
      <c r="AI118" s="10">
        <f>IF(OR($C118="",$D118=""),"",IF(AND(DATE($B$1,1,1)+(31-1)*7&lt;=$D118,DATE($B$1,1,1)+31*7-1&gt;=$C118),1,""))</f>
        <v/>
      </c>
      <c r="AJ118" s="10">
        <f>IF(OR($C118="",$D118=""),"",IF(AND(DATE($B$1,1,1)+(32-1)*7&lt;=$D118,DATE($B$1,1,1)+32*7-1&gt;=$C118),1,""))</f>
        <v/>
      </c>
      <c r="AK118" s="10">
        <f>IF(OR($C118="",$D118=""),"",IF(AND(DATE($B$1,1,1)+(33-1)*7&lt;=$D118,DATE($B$1,1,1)+33*7-1&gt;=$C118),1,""))</f>
        <v/>
      </c>
      <c r="AL118" s="10">
        <f>IF(OR($C118="",$D118=""),"",IF(AND(DATE($B$1,1,1)+(34-1)*7&lt;=$D118,DATE($B$1,1,1)+34*7-1&gt;=$C118),1,""))</f>
        <v/>
      </c>
      <c r="AM118" s="10">
        <f>IF(OR($C118="",$D118=""),"",IF(AND(DATE($B$1,1,1)+(35-1)*7&lt;=$D118,DATE($B$1,1,1)+35*7-1&gt;=$C118),1,""))</f>
        <v/>
      </c>
      <c r="AN118" s="10">
        <f>IF(OR($C118="",$D118=""),"",IF(AND(DATE($B$1,1,1)+(36-1)*7&lt;=$D118,DATE($B$1,1,1)+36*7-1&gt;=$C118),1,""))</f>
        <v/>
      </c>
      <c r="AO118" s="10">
        <f>IF(OR($C118="",$D118=""),"",IF(AND(DATE($B$1,1,1)+(37-1)*7&lt;=$D118,DATE($B$1,1,1)+37*7-1&gt;=$C118),1,""))</f>
        <v/>
      </c>
      <c r="AP118" s="10">
        <f>IF(OR($C118="",$D118=""),"",IF(AND(DATE($B$1,1,1)+(38-1)*7&lt;=$D118,DATE($B$1,1,1)+38*7-1&gt;=$C118),1,""))</f>
        <v/>
      </c>
      <c r="AQ118" s="10">
        <f>IF(OR($C118="",$D118=""),"",IF(AND(DATE($B$1,1,1)+(39-1)*7&lt;=$D118,DATE($B$1,1,1)+39*7-1&gt;=$C118),1,""))</f>
        <v/>
      </c>
      <c r="AR118" s="10">
        <f>IF(OR($C118="",$D118=""),"",IF(AND(DATE($B$1,1,1)+(40-1)*7&lt;=$D118,DATE($B$1,1,1)+40*7-1&gt;=$C118),1,""))</f>
        <v/>
      </c>
      <c r="AS118" s="10">
        <f>IF(OR($C118="",$D118=""),"",IF(AND(DATE($B$1,1,1)+(41-1)*7&lt;=$D118,DATE($B$1,1,1)+41*7-1&gt;=$C118),1,""))</f>
        <v/>
      </c>
      <c r="AT118" s="10">
        <f>IF(OR($C118="",$D118=""),"",IF(AND(DATE($B$1,1,1)+(42-1)*7&lt;=$D118,DATE($B$1,1,1)+42*7-1&gt;=$C118),1,""))</f>
        <v/>
      </c>
      <c r="AU118" s="10">
        <f>IF(OR($C118="",$D118=""),"",IF(AND(DATE($B$1,1,1)+(43-1)*7&lt;=$D118,DATE($B$1,1,1)+43*7-1&gt;=$C118),1,""))</f>
        <v/>
      </c>
      <c r="AV118" s="10">
        <f>IF(OR($C118="",$D118=""),"",IF(AND(DATE($B$1,1,1)+(44-1)*7&lt;=$D118,DATE($B$1,1,1)+44*7-1&gt;=$C118),1,""))</f>
        <v/>
      </c>
      <c r="AW118" s="10">
        <f>IF(OR($C118="",$D118=""),"",IF(AND(DATE($B$1,1,1)+(45-1)*7&lt;=$D118,DATE($B$1,1,1)+45*7-1&gt;=$C118),1,""))</f>
        <v/>
      </c>
      <c r="AX118" s="10">
        <f>IF(OR($C118="",$D118=""),"",IF(AND(DATE($B$1,1,1)+(46-1)*7&lt;=$D118,DATE($B$1,1,1)+46*7-1&gt;=$C118),1,""))</f>
        <v/>
      </c>
      <c r="AY118" s="10">
        <f>IF(OR($C118="",$D118=""),"",IF(AND(DATE($B$1,1,1)+(47-1)*7&lt;=$D118,DATE($B$1,1,1)+47*7-1&gt;=$C118),1,""))</f>
        <v/>
      </c>
      <c r="AZ118" s="10">
        <f>IF(OR($C118="",$D118=""),"",IF(AND(DATE($B$1,1,1)+(48-1)*7&lt;=$D118,DATE($B$1,1,1)+48*7-1&gt;=$C118),1,""))</f>
        <v/>
      </c>
      <c r="BA118" s="10">
        <f>IF(OR($C118="",$D118=""),"",IF(AND(DATE($B$1,1,1)+(49-1)*7&lt;=$D118,DATE($B$1,1,1)+49*7-1&gt;=$C118),1,""))</f>
        <v/>
      </c>
      <c r="BB118" s="10">
        <f>IF(OR($C118="",$D118=""),"",IF(AND(DATE($B$1,1,1)+(50-1)*7&lt;=$D118,DATE($B$1,1,1)+50*7-1&gt;=$C118),1,""))</f>
        <v/>
      </c>
      <c r="BC118" s="10">
        <f>IF(OR($C118="",$D118=""),"",IF(AND(DATE($B$1,1,1)+(51-1)*7&lt;=$D118,DATE($B$1,1,1)+51*7-1&gt;=$C118),1,""))</f>
        <v/>
      </c>
      <c r="BD118" s="10">
        <f>IF(OR($C118="",$D118=""),"",IF(AND(DATE($B$1,1,1)+(52-1)*7&lt;=$D118,DATE($B$1,1,1)+52*7-1&gt;=$C118),1,""))</f>
        <v/>
      </c>
      <c r="BE118" s="10">
        <f>IF(OR($C118="",$D118=""),"",IF(AND(DATE($B$1,1,1)+(53-1)*7&lt;=$D118,DATE($B$1,1,1)+53*7-1&gt;=$C118),1,""))</f>
        <v/>
      </c>
      <c r="BF118" s="10">
        <f>IF(OR($C118="",$D118=""),"",IF(AND(DATE($B$1,1,1)+(54-1)*7&lt;=$D118,DATE($B$1,1,1)+54*7-1&gt;=$C118),1,""))</f>
        <v/>
      </c>
    </row>
    <row r="119">
      <c r="A119" s="6" t="n"/>
      <c r="B119" s="6" t="n"/>
      <c r="C119" s="11" t="n"/>
      <c r="D119" s="11" t="n"/>
      <c r="E119" s="10">
        <f>IF(OR($C119="",$D119=""),"",IF(AND(DATE($B$1,1,1)+(1-1)*7&lt;=$D119,DATE($B$1,1,1)+1*7-1&gt;=$C119),1,""))</f>
        <v/>
      </c>
      <c r="F119" s="10">
        <f>IF(OR($C119="",$D119=""),"",IF(AND(DATE($B$1,1,1)+(2-1)*7&lt;=$D119,DATE($B$1,1,1)+2*7-1&gt;=$C119),1,""))</f>
        <v/>
      </c>
      <c r="G119" s="10">
        <f>IF(OR($C119="",$D119=""),"",IF(AND(DATE($B$1,1,1)+(3-1)*7&lt;=$D119,DATE($B$1,1,1)+3*7-1&gt;=$C119),1,""))</f>
        <v/>
      </c>
      <c r="H119" s="10">
        <f>IF(OR($C119="",$D119=""),"",IF(AND(DATE($B$1,1,1)+(4-1)*7&lt;=$D119,DATE($B$1,1,1)+4*7-1&gt;=$C119),1,""))</f>
        <v/>
      </c>
      <c r="I119" s="10">
        <f>IF(OR($C119="",$D119=""),"",IF(AND(DATE($B$1,1,1)+(5-1)*7&lt;=$D119,DATE($B$1,1,1)+5*7-1&gt;=$C119),1,""))</f>
        <v/>
      </c>
      <c r="J119" s="10">
        <f>IF(OR($C119="",$D119=""),"",IF(AND(DATE($B$1,1,1)+(6-1)*7&lt;=$D119,DATE($B$1,1,1)+6*7-1&gt;=$C119),1,""))</f>
        <v/>
      </c>
      <c r="K119" s="10">
        <f>IF(OR($C119="",$D119=""),"",IF(AND(DATE($B$1,1,1)+(7-1)*7&lt;=$D119,DATE($B$1,1,1)+7*7-1&gt;=$C119),1,""))</f>
        <v/>
      </c>
      <c r="L119" s="10">
        <f>IF(OR($C119="",$D119=""),"",IF(AND(DATE($B$1,1,1)+(8-1)*7&lt;=$D119,DATE($B$1,1,1)+8*7-1&gt;=$C119),1,""))</f>
        <v/>
      </c>
      <c r="M119" s="10">
        <f>IF(OR($C119="",$D119=""),"",IF(AND(DATE($B$1,1,1)+(9-1)*7&lt;=$D119,DATE($B$1,1,1)+9*7-1&gt;=$C119),1,""))</f>
        <v/>
      </c>
      <c r="N119" s="10">
        <f>IF(OR($C119="",$D119=""),"",IF(AND(DATE($B$1,1,1)+(10-1)*7&lt;=$D119,DATE($B$1,1,1)+10*7-1&gt;=$C119),1,""))</f>
        <v/>
      </c>
      <c r="O119" s="10">
        <f>IF(OR($C119="",$D119=""),"",IF(AND(DATE($B$1,1,1)+(11-1)*7&lt;=$D119,DATE($B$1,1,1)+11*7-1&gt;=$C119),1,""))</f>
        <v/>
      </c>
      <c r="P119" s="10">
        <f>IF(OR($C119="",$D119=""),"",IF(AND(DATE($B$1,1,1)+(12-1)*7&lt;=$D119,DATE($B$1,1,1)+12*7-1&gt;=$C119),1,""))</f>
        <v/>
      </c>
      <c r="Q119" s="10">
        <f>IF(OR($C119="",$D119=""),"",IF(AND(DATE($B$1,1,1)+(13-1)*7&lt;=$D119,DATE($B$1,1,1)+13*7-1&gt;=$C119),1,""))</f>
        <v/>
      </c>
      <c r="R119" s="10">
        <f>IF(OR($C119="",$D119=""),"",IF(AND(DATE($B$1,1,1)+(14-1)*7&lt;=$D119,DATE($B$1,1,1)+14*7-1&gt;=$C119),1,""))</f>
        <v/>
      </c>
      <c r="S119" s="10">
        <f>IF(OR($C119="",$D119=""),"",IF(AND(DATE($B$1,1,1)+(15-1)*7&lt;=$D119,DATE($B$1,1,1)+15*7-1&gt;=$C119),1,""))</f>
        <v/>
      </c>
      <c r="T119" s="10">
        <f>IF(OR($C119="",$D119=""),"",IF(AND(DATE($B$1,1,1)+(16-1)*7&lt;=$D119,DATE($B$1,1,1)+16*7-1&gt;=$C119),1,""))</f>
        <v/>
      </c>
      <c r="U119" s="10">
        <f>IF(OR($C119="",$D119=""),"",IF(AND(DATE($B$1,1,1)+(17-1)*7&lt;=$D119,DATE($B$1,1,1)+17*7-1&gt;=$C119),1,""))</f>
        <v/>
      </c>
      <c r="V119" s="10">
        <f>IF(OR($C119="",$D119=""),"",IF(AND(DATE($B$1,1,1)+(18-1)*7&lt;=$D119,DATE($B$1,1,1)+18*7-1&gt;=$C119),1,""))</f>
        <v/>
      </c>
      <c r="W119" s="10">
        <f>IF(OR($C119="",$D119=""),"",IF(AND(DATE($B$1,1,1)+(19-1)*7&lt;=$D119,DATE($B$1,1,1)+19*7-1&gt;=$C119),1,""))</f>
        <v/>
      </c>
      <c r="X119" s="10">
        <f>IF(OR($C119="",$D119=""),"",IF(AND(DATE($B$1,1,1)+(20-1)*7&lt;=$D119,DATE($B$1,1,1)+20*7-1&gt;=$C119),1,""))</f>
        <v/>
      </c>
      <c r="Y119" s="10">
        <f>IF(OR($C119="",$D119=""),"",IF(AND(DATE($B$1,1,1)+(21-1)*7&lt;=$D119,DATE($B$1,1,1)+21*7-1&gt;=$C119),1,""))</f>
        <v/>
      </c>
      <c r="Z119" s="10">
        <f>IF(OR($C119="",$D119=""),"",IF(AND(DATE($B$1,1,1)+(22-1)*7&lt;=$D119,DATE($B$1,1,1)+22*7-1&gt;=$C119),1,""))</f>
        <v/>
      </c>
      <c r="AA119" s="10">
        <f>IF(OR($C119="",$D119=""),"",IF(AND(DATE($B$1,1,1)+(23-1)*7&lt;=$D119,DATE($B$1,1,1)+23*7-1&gt;=$C119),1,""))</f>
        <v/>
      </c>
      <c r="AB119" s="10">
        <f>IF(OR($C119="",$D119=""),"",IF(AND(DATE($B$1,1,1)+(24-1)*7&lt;=$D119,DATE($B$1,1,1)+24*7-1&gt;=$C119),1,""))</f>
        <v/>
      </c>
      <c r="AC119" s="10">
        <f>IF(OR($C119="",$D119=""),"",IF(AND(DATE($B$1,1,1)+(25-1)*7&lt;=$D119,DATE($B$1,1,1)+25*7-1&gt;=$C119),1,""))</f>
        <v/>
      </c>
      <c r="AD119" s="10">
        <f>IF(OR($C119="",$D119=""),"",IF(AND(DATE($B$1,1,1)+(26-1)*7&lt;=$D119,DATE($B$1,1,1)+26*7-1&gt;=$C119),1,""))</f>
        <v/>
      </c>
      <c r="AE119" s="10">
        <f>IF(OR($C119="",$D119=""),"",IF(AND(DATE($B$1,1,1)+(27-1)*7&lt;=$D119,DATE($B$1,1,1)+27*7-1&gt;=$C119),1,""))</f>
        <v/>
      </c>
      <c r="AF119" s="10">
        <f>IF(OR($C119="",$D119=""),"",IF(AND(DATE($B$1,1,1)+(28-1)*7&lt;=$D119,DATE($B$1,1,1)+28*7-1&gt;=$C119),1,""))</f>
        <v/>
      </c>
      <c r="AG119" s="10">
        <f>IF(OR($C119="",$D119=""),"",IF(AND(DATE($B$1,1,1)+(29-1)*7&lt;=$D119,DATE($B$1,1,1)+29*7-1&gt;=$C119),1,""))</f>
        <v/>
      </c>
      <c r="AH119" s="10">
        <f>IF(OR($C119="",$D119=""),"",IF(AND(DATE($B$1,1,1)+(30-1)*7&lt;=$D119,DATE($B$1,1,1)+30*7-1&gt;=$C119),1,""))</f>
        <v/>
      </c>
      <c r="AI119" s="10">
        <f>IF(OR($C119="",$D119=""),"",IF(AND(DATE($B$1,1,1)+(31-1)*7&lt;=$D119,DATE($B$1,1,1)+31*7-1&gt;=$C119),1,""))</f>
        <v/>
      </c>
      <c r="AJ119" s="10">
        <f>IF(OR($C119="",$D119=""),"",IF(AND(DATE($B$1,1,1)+(32-1)*7&lt;=$D119,DATE($B$1,1,1)+32*7-1&gt;=$C119),1,""))</f>
        <v/>
      </c>
      <c r="AK119" s="10">
        <f>IF(OR($C119="",$D119=""),"",IF(AND(DATE($B$1,1,1)+(33-1)*7&lt;=$D119,DATE($B$1,1,1)+33*7-1&gt;=$C119),1,""))</f>
        <v/>
      </c>
      <c r="AL119" s="10">
        <f>IF(OR($C119="",$D119=""),"",IF(AND(DATE($B$1,1,1)+(34-1)*7&lt;=$D119,DATE($B$1,1,1)+34*7-1&gt;=$C119),1,""))</f>
        <v/>
      </c>
      <c r="AM119" s="10">
        <f>IF(OR($C119="",$D119=""),"",IF(AND(DATE($B$1,1,1)+(35-1)*7&lt;=$D119,DATE($B$1,1,1)+35*7-1&gt;=$C119),1,""))</f>
        <v/>
      </c>
      <c r="AN119" s="10">
        <f>IF(OR($C119="",$D119=""),"",IF(AND(DATE($B$1,1,1)+(36-1)*7&lt;=$D119,DATE($B$1,1,1)+36*7-1&gt;=$C119),1,""))</f>
        <v/>
      </c>
      <c r="AO119" s="10">
        <f>IF(OR($C119="",$D119=""),"",IF(AND(DATE($B$1,1,1)+(37-1)*7&lt;=$D119,DATE($B$1,1,1)+37*7-1&gt;=$C119),1,""))</f>
        <v/>
      </c>
      <c r="AP119" s="10">
        <f>IF(OR($C119="",$D119=""),"",IF(AND(DATE($B$1,1,1)+(38-1)*7&lt;=$D119,DATE($B$1,1,1)+38*7-1&gt;=$C119),1,""))</f>
        <v/>
      </c>
      <c r="AQ119" s="10">
        <f>IF(OR($C119="",$D119=""),"",IF(AND(DATE($B$1,1,1)+(39-1)*7&lt;=$D119,DATE($B$1,1,1)+39*7-1&gt;=$C119),1,""))</f>
        <v/>
      </c>
      <c r="AR119" s="10">
        <f>IF(OR($C119="",$D119=""),"",IF(AND(DATE($B$1,1,1)+(40-1)*7&lt;=$D119,DATE($B$1,1,1)+40*7-1&gt;=$C119),1,""))</f>
        <v/>
      </c>
      <c r="AS119" s="10">
        <f>IF(OR($C119="",$D119=""),"",IF(AND(DATE($B$1,1,1)+(41-1)*7&lt;=$D119,DATE($B$1,1,1)+41*7-1&gt;=$C119),1,""))</f>
        <v/>
      </c>
      <c r="AT119" s="10">
        <f>IF(OR($C119="",$D119=""),"",IF(AND(DATE($B$1,1,1)+(42-1)*7&lt;=$D119,DATE($B$1,1,1)+42*7-1&gt;=$C119),1,""))</f>
        <v/>
      </c>
      <c r="AU119" s="10">
        <f>IF(OR($C119="",$D119=""),"",IF(AND(DATE($B$1,1,1)+(43-1)*7&lt;=$D119,DATE($B$1,1,1)+43*7-1&gt;=$C119),1,""))</f>
        <v/>
      </c>
      <c r="AV119" s="10">
        <f>IF(OR($C119="",$D119=""),"",IF(AND(DATE($B$1,1,1)+(44-1)*7&lt;=$D119,DATE($B$1,1,1)+44*7-1&gt;=$C119),1,""))</f>
        <v/>
      </c>
      <c r="AW119" s="10">
        <f>IF(OR($C119="",$D119=""),"",IF(AND(DATE($B$1,1,1)+(45-1)*7&lt;=$D119,DATE($B$1,1,1)+45*7-1&gt;=$C119),1,""))</f>
        <v/>
      </c>
      <c r="AX119" s="10">
        <f>IF(OR($C119="",$D119=""),"",IF(AND(DATE($B$1,1,1)+(46-1)*7&lt;=$D119,DATE($B$1,1,1)+46*7-1&gt;=$C119),1,""))</f>
        <v/>
      </c>
      <c r="AY119" s="10">
        <f>IF(OR($C119="",$D119=""),"",IF(AND(DATE($B$1,1,1)+(47-1)*7&lt;=$D119,DATE($B$1,1,1)+47*7-1&gt;=$C119),1,""))</f>
        <v/>
      </c>
      <c r="AZ119" s="10">
        <f>IF(OR($C119="",$D119=""),"",IF(AND(DATE($B$1,1,1)+(48-1)*7&lt;=$D119,DATE($B$1,1,1)+48*7-1&gt;=$C119),1,""))</f>
        <v/>
      </c>
      <c r="BA119" s="10">
        <f>IF(OR($C119="",$D119=""),"",IF(AND(DATE($B$1,1,1)+(49-1)*7&lt;=$D119,DATE($B$1,1,1)+49*7-1&gt;=$C119),1,""))</f>
        <v/>
      </c>
      <c r="BB119" s="10">
        <f>IF(OR($C119="",$D119=""),"",IF(AND(DATE($B$1,1,1)+(50-1)*7&lt;=$D119,DATE($B$1,1,1)+50*7-1&gt;=$C119),1,""))</f>
        <v/>
      </c>
      <c r="BC119" s="10">
        <f>IF(OR($C119="",$D119=""),"",IF(AND(DATE($B$1,1,1)+(51-1)*7&lt;=$D119,DATE($B$1,1,1)+51*7-1&gt;=$C119),1,""))</f>
        <v/>
      </c>
      <c r="BD119" s="10">
        <f>IF(OR($C119="",$D119=""),"",IF(AND(DATE($B$1,1,1)+(52-1)*7&lt;=$D119,DATE($B$1,1,1)+52*7-1&gt;=$C119),1,""))</f>
        <v/>
      </c>
      <c r="BE119" s="10">
        <f>IF(OR($C119="",$D119=""),"",IF(AND(DATE($B$1,1,1)+(53-1)*7&lt;=$D119,DATE($B$1,1,1)+53*7-1&gt;=$C119),1,""))</f>
        <v/>
      </c>
      <c r="BF119" s="10">
        <f>IF(OR($C119="",$D119=""),"",IF(AND(DATE($B$1,1,1)+(54-1)*7&lt;=$D119,DATE($B$1,1,1)+54*7-1&gt;=$C119),1,""))</f>
        <v/>
      </c>
    </row>
    <row r="120">
      <c r="A120" s="6" t="n"/>
      <c r="B120" s="6" t="n"/>
      <c r="C120" s="11" t="n"/>
      <c r="D120" s="11" t="n"/>
      <c r="E120" s="10">
        <f>IF(OR($C120="",$D120=""),"",IF(AND(DATE($B$1,1,1)+(1-1)*7&lt;=$D120,DATE($B$1,1,1)+1*7-1&gt;=$C120),1,""))</f>
        <v/>
      </c>
      <c r="F120" s="10">
        <f>IF(OR($C120="",$D120=""),"",IF(AND(DATE($B$1,1,1)+(2-1)*7&lt;=$D120,DATE($B$1,1,1)+2*7-1&gt;=$C120),1,""))</f>
        <v/>
      </c>
      <c r="G120" s="10">
        <f>IF(OR($C120="",$D120=""),"",IF(AND(DATE($B$1,1,1)+(3-1)*7&lt;=$D120,DATE($B$1,1,1)+3*7-1&gt;=$C120),1,""))</f>
        <v/>
      </c>
      <c r="H120" s="10">
        <f>IF(OR($C120="",$D120=""),"",IF(AND(DATE($B$1,1,1)+(4-1)*7&lt;=$D120,DATE($B$1,1,1)+4*7-1&gt;=$C120),1,""))</f>
        <v/>
      </c>
      <c r="I120" s="10">
        <f>IF(OR($C120="",$D120=""),"",IF(AND(DATE($B$1,1,1)+(5-1)*7&lt;=$D120,DATE($B$1,1,1)+5*7-1&gt;=$C120),1,""))</f>
        <v/>
      </c>
      <c r="J120" s="10">
        <f>IF(OR($C120="",$D120=""),"",IF(AND(DATE($B$1,1,1)+(6-1)*7&lt;=$D120,DATE($B$1,1,1)+6*7-1&gt;=$C120),1,""))</f>
        <v/>
      </c>
      <c r="K120" s="10">
        <f>IF(OR($C120="",$D120=""),"",IF(AND(DATE($B$1,1,1)+(7-1)*7&lt;=$D120,DATE($B$1,1,1)+7*7-1&gt;=$C120),1,""))</f>
        <v/>
      </c>
      <c r="L120" s="10">
        <f>IF(OR($C120="",$D120=""),"",IF(AND(DATE($B$1,1,1)+(8-1)*7&lt;=$D120,DATE($B$1,1,1)+8*7-1&gt;=$C120),1,""))</f>
        <v/>
      </c>
      <c r="M120" s="10">
        <f>IF(OR($C120="",$D120=""),"",IF(AND(DATE($B$1,1,1)+(9-1)*7&lt;=$D120,DATE($B$1,1,1)+9*7-1&gt;=$C120),1,""))</f>
        <v/>
      </c>
      <c r="N120" s="10">
        <f>IF(OR($C120="",$D120=""),"",IF(AND(DATE($B$1,1,1)+(10-1)*7&lt;=$D120,DATE($B$1,1,1)+10*7-1&gt;=$C120),1,""))</f>
        <v/>
      </c>
      <c r="O120" s="10">
        <f>IF(OR($C120="",$D120=""),"",IF(AND(DATE($B$1,1,1)+(11-1)*7&lt;=$D120,DATE($B$1,1,1)+11*7-1&gt;=$C120),1,""))</f>
        <v/>
      </c>
      <c r="P120" s="10">
        <f>IF(OR($C120="",$D120=""),"",IF(AND(DATE($B$1,1,1)+(12-1)*7&lt;=$D120,DATE($B$1,1,1)+12*7-1&gt;=$C120),1,""))</f>
        <v/>
      </c>
      <c r="Q120" s="10">
        <f>IF(OR($C120="",$D120=""),"",IF(AND(DATE($B$1,1,1)+(13-1)*7&lt;=$D120,DATE($B$1,1,1)+13*7-1&gt;=$C120),1,""))</f>
        <v/>
      </c>
      <c r="R120" s="10">
        <f>IF(OR($C120="",$D120=""),"",IF(AND(DATE($B$1,1,1)+(14-1)*7&lt;=$D120,DATE($B$1,1,1)+14*7-1&gt;=$C120),1,""))</f>
        <v/>
      </c>
      <c r="S120" s="10">
        <f>IF(OR($C120="",$D120=""),"",IF(AND(DATE($B$1,1,1)+(15-1)*7&lt;=$D120,DATE($B$1,1,1)+15*7-1&gt;=$C120),1,""))</f>
        <v/>
      </c>
      <c r="T120" s="10">
        <f>IF(OR($C120="",$D120=""),"",IF(AND(DATE($B$1,1,1)+(16-1)*7&lt;=$D120,DATE($B$1,1,1)+16*7-1&gt;=$C120),1,""))</f>
        <v/>
      </c>
      <c r="U120" s="10">
        <f>IF(OR($C120="",$D120=""),"",IF(AND(DATE($B$1,1,1)+(17-1)*7&lt;=$D120,DATE($B$1,1,1)+17*7-1&gt;=$C120),1,""))</f>
        <v/>
      </c>
      <c r="V120" s="10">
        <f>IF(OR($C120="",$D120=""),"",IF(AND(DATE($B$1,1,1)+(18-1)*7&lt;=$D120,DATE($B$1,1,1)+18*7-1&gt;=$C120),1,""))</f>
        <v/>
      </c>
      <c r="W120" s="10">
        <f>IF(OR($C120="",$D120=""),"",IF(AND(DATE($B$1,1,1)+(19-1)*7&lt;=$D120,DATE($B$1,1,1)+19*7-1&gt;=$C120),1,""))</f>
        <v/>
      </c>
      <c r="X120" s="10">
        <f>IF(OR($C120="",$D120=""),"",IF(AND(DATE($B$1,1,1)+(20-1)*7&lt;=$D120,DATE($B$1,1,1)+20*7-1&gt;=$C120),1,""))</f>
        <v/>
      </c>
      <c r="Y120" s="10">
        <f>IF(OR($C120="",$D120=""),"",IF(AND(DATE($B$1,1,1)+(21-1)*7&lt;=$D120,DATE($B$1,1,1)+21*7-1&gt;=$C120),1,""))</f>
        <v/>
      </c>
      <c r="Z120" s="10">
        <f>IF(OR($C120="",$D120=""),"",IF(AND(DATE($B$1,1,1)+(22-1)*7&lt;=$D120,DATE($B$1,1,1)+22*7-1&gt;=$C120),1,""))</f>
        <v/>
      </c>
      <c r="AA120" s="10">
        <f>IF(OR($C120="",$D120=""),"",IF(AND(DATE($B$1,1,1)+(23-1)*7&lt;=$D120,DATE($B$1,1,1)+23*7-1&gt;=$C120),1,""))</f>
        <v/>
      </c>
      <c r="AB120" s="10">
        <f>IF(OR($C120="",$D120=""),"",IF(AND(DATE($B$1,1,1)+(24-1)*7&lt;=$D120,DATE($B$1,1,1)+24*7-1&gt;=$C120),1,""))</f>
        <v/>
      </c>
      <c r="AC120" s="10">
        <f>IF(OR($C120="",$D120=""),"",IF(AND(DATE($B$1,1,1)+(25-1)*7&lt;=$D120,DATE($B$1,1,1)+25*7-1&gt;=$C120),1,""))</f>
        <v/>
      </c>
      <c r="AD120" s="10">
        <f>IF(OR($C120="",$D120=""),"",IF(AND(DATE($B$1,1,1)+(26-1)*7&lt;=$D120,DATE($B$1,1,1)+26*7-1&gt;=$C120),1,""))</f>
        <v/>
      </c>
      <c r="AE120" s="10">
        <f>IF(OR($C120="",$D120=""),"",IF(AND(DATE($B$1,1,1)+(27-1)*7&lt;=$D120,DATE($B$1,1,1)+27*7-1&gt;=$C120),1,""))</f>
        <v/>
      </c>
      <c r="AF120" s="10">
        <f>IF(OR($C120="",$D120=""),"",IF(AND(DATE($B$1,1,1)+(28-1)*7&lt;=$D120,DATE($B$1,1,1)+28*7-1&gt;=$C120),1,""))</f>
        <v/>
      </c>
      <c r="AG120" s="10">
        <f>IF(OR($C120="",$D120=""),"",IF(AND(DATE($B$1,1,1)+(29-1)*7&lt;=$D120,DATE($B$1,1,1)+29*7-1&gt;=$C120),1,""))</f>
        <v/>
      </c>
      <c r="AH120" s="10">
        <f>IF(OR($C120="",$D120=""),"",IF(AND(DATE($B$1,1,1)+(30-1)*7&lt;=$D120,DATE($B$1,1,1)+30*7-1&gt;=$C120),1,""))</f>
        <v/>
      </c>
      <c r="AI120" s="10">
        <f>IF(OR($C120="",$D120=""),"",IF(AND(DATE($B$1,1,1)+(31-1)*7&lt;=$D120,DATE($B$1,1,1)+31*7-1&gt;=$C120),1,""))</f>
        <v/>
      </c>
      <c r="AJ120" s="10">
        <f>IF(OR($C120="",$D120=""),"",IF(AND(DATE($B$1,1,1)+(32-1)*7&lt;=$D120,DATE($B$1,1,1)+32*7-1&gt;=$C120),1,""))</f>
        <v/>
      </c>
      <c r="AK120" s="10">
        <f>IF(OR($C120="",$D120=""),"",IF(AND(DATE($B$1,1,1)+(33-1)*7&lt;=$D120,DATE($B$1,1,1)+33*7-1&gt;=$C120),1,""))</f>
        <v/>
      </c>
      <c r="AL120" s="10">
        <f>IF(OR($C120="",$D120=""),"",IF(AND(DATE($B$1,1,1)+(34-1)*7&lt;=$D120,DATE($B$1,1,1)+34*7-1&gt;=$C120),1,""))</f>
        <v/>
      </c>
      <c r="AM120" s="10">
        <f>IF(OR($C120="",$D120=""),"",IF(AND(DATE($B$1,1,1)+(35-1)*7&lt;=$D120,DATE($B$1,1,1)+35*7-1&gt;=$C120),1,""))</f>
        <v/>
      </c>
      <c r="AN120" s="10">
        <f>IF(OR($C120="",$D120=""),"",IF(AND(DATE($B$1,1,1)+(36-1)*7&lt;=$D120,DATE($B$1,1,1)+36*7-1&gt;=$C120),1,""))</f>
        <v/>
      </c>
      <c r="AO120" s="10">
        <f>IF(OR($C120="",$D120=""),"",IF(AND(DATE($B$1,1,1)+(37-1)*7&lt;=$D120,DATE($B$1,1,1)+37*7-1&gt;=$C120),1,""))</f>
        <v/>
      </c>
      <c r="AP120" s="10">
        <f>IF(OR($C120="",$D120=""),"",IF(AND(DATE($B$1,1,1)+(38-1)*7&lt;=$D120,DATE($B$1,1,1)+38*7-1&gt;=$C120),1,""))</f>
        <v/>
      </c>
      <c r="AQ120" s="10">
        <f>IF(OR($C120="",$D120=""),"",IF(AND(DATE($B$1,1,1)+(39-1)*7&lt;=$D120,DATE($B$1,1,1)+39*7-1&gt;=$C120),1,""))</f>
        <v/>
      </c>
      <c r="AR120" s="10">
        <f>IF(OR($C120="",$D120=""),"",IF(AND(DATE($B$1,1,1)+(40-1)*7&lt;=$D120,DATE($B$1,1,1)+40*7-1&gt;=$C120),1,""))</f>
        <v/>
      </c>
      <c r="AS120" s="10">
        <f>IF(OR($C120="",$D120=""),"",IF(AND(DATE($B$1,1,1)+(41-1)*7&lt;=$D120,DATE($B$1,1,1)+41*7-1&gt;=$C120),1,""))</f>
        <v/>
      </c>
      <c r="AT120" s="10">
        <f>IF(OR($C120="",$D120=""),"",IF(AND(DATE($B$1,1,1)+(42-1)*7&lt;=$D120,DATE($B$1,1,1)+42*7-1&gt;=$C120),1,""))</f>
        <v/>
      </c>
      <c r="AU120" s="10">
        <f>IF(OR($C120="",$D120=""),"",IF(AND(DATE($B$1,1,1)+(43-1)*7&lt;=$D120,DATE($B$1,1,1)+43*7-1&gt;=$C120),1,""))</f>
        <v/>
      </c>
      <c r="AV120" s="10">
        <f>IF(OR($C120="",$D120=""),"",IF(AND(DATE($B$1,1,1)+(44-1)*7&lt;=$D120,DATE($B$1,1,1)+44*7-1&gt;=$C120),1,""))</f>
        <v/>
      </c>
      <c r="AW120" s="10">
        <f>IF(OR($C120="",$D120=""),"",IF(AND(DATE($B$1,1,1)+(45-1)*7&lt;=$D120,DATE($B$1,1,1)+45*7-1&gt;=$C120),1,""))</f>
        <v/>
      </c>
      <c r="AX120" s="10">
        <f>IF(OR($C120="",$D120=""),"",IF(AND(DATE($B$1,1,1)+(46-1)*7&lt;=$D120,DATE($B$1,1,1)+46*7-1&gt;=$C120),1,""))</f>
        <v/>
      </c>
      <c r="AY120" s="10">
        <f>IF(OR($C120="",$D120=""),"",IF(AND(DATE($B$1,1,1)+(47-1)*7&lt;=$D120,DATE($B$1,1,1)+47*7-1&gt;=$C120),1,""))</f>
        <v/>
      </c>
      <c r="AZ120" s="10">
        <f>IF(OR($C120="",$D120=""),"",IF(AND(DATE($B$1,1,1)+(48-1)*7&lt;=$D120,DATE($B$1,1,1)+48*7-1&gt;=$C120),1,""))</f>
        <v/>
      </c>
      <c r="BA120" s="10">
        <f>IF(OR($C120="",$D120=""),"",IF(AND(DATE($B$1,1,1)+(49-1)*7&lt;=$D120,DATE($B$1,1,1)+49*7-1&gt;=$C120),1,""))</f>
        <v/>
      </c>
      <c r="BB120" s="10">
        <f>IF(OR($C120="",$D120=""),"",IF(AND(DATE($B$1,1,1)+(50-1)*7&lt;=$D120,DATE($B$1,1,1)+50*7-1&gt;=$C120),1,""))</f>
        <v/>
      </c>
      <c r="BC120" s="10">
        <f>IF(OR($C120="",$D120=""),"",IF(AND(DATE($B$1,1,1)+(51-1)*7&lt;=$D120,DATE($B$1,1,1)+51*7-1&gt;=$C120),1,""))</f>
        <v/>
      </c>
      <c r="BD120" s="10">
        <f>IF(OR($C120="",$D120=""),"",IF(AND(DATE($B$1,1,1)+(52-1)*7&lt;=$D120,DATE($B$1,1,1)+52*7-1&gt;=$C120),1,""))</f>
        <v/>
      </c>
      <c r="BE120" s="10">
        <f>IF(OR($C120="",$D120=""),"",IF(AND(DATE($B$1,1,1)+(53-1)*7&lt;=$D120,DATE($B$1,1,1)+53*7-1&gt;=$C120),1,""))</f>
        <v/>
      </c>
      <c r="BF120" s="10">
        <f>IF(OR($C120="",$D120=""),"",IF(AND(DATE($B$1,1,1)+(54-1)*7&lt;=$D120,DATE($B$1,1,1)+54*7-1&gt;=$C120),1,""))</f>
        <v/>
      </c>
    </row>
  </sheetData>
  <conditionalFormatting sqref="E3:BF120">
    <cfRule type="cellIs" priority="1" operator="equal" dxfId="3">
      <formula>1</formula>
    </cfRule>
  </conditionalFormatting>
  <dataValidations count="1">
    <dataValidation sqref="B3:B120" showDropDown="0" showInputMessage="0" showErrorMessage="0" allowBlank="1" type="list">
      <formula1>"Proje,Mühendislik,Satın Alma,Üretim,Test+Montaj+Sevkiyat,Özel"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2026-07-27T14:36:52Z</dcterms:created>
  <dcterms:modified xsi:type="dcterms:W3CDTF">2026-07-27T14:37:20Z</dcterms:modified>
</cp:coreProperties>
</file>